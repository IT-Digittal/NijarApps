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Hallazgos" sheetId="2" state="visible" r:id="rId4"/>
    <sheet name="Reglas comunes" sheetId="3" state="visible" r:id="rId5"/>
  </sheets>
  <definedNames>
    <definedName function="false" hidden="true" localSheetId="1" name="_xlnm._FilterDatabase" vbProcedure="false">Hallazgos!$A$5:$N$1000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<sst xmlns="http://schemas.openxmlformats.org/spreadsheetml/2006/main" count="98" uniqueCount="86">
  <si>
    <t xml:space="preserve">AUDITORÍA WCAG 2.1 AA — DASHBOARD</t>
  </si>
  <si>
    <t xml:space="preserve">Plataforma DTI Níjar · Exp. 18962/2025 · Subtarea 5.8 del Plan Pre-SAT</t>
  </si>
  <si>
    <t xml:space="preserve">Plantilla de seguimiento de hallazgos. Una fila por hallazgo detectado.</t>
  </si>
  <si>
    <t xml:space="preserve">RESUMEN EJECUTIVO</t>
  </si>
  <si>
    <t xml:space="preserve">Total hallazgos detectados</t>
  </si>
  <si>
    <t xml:space="preserve">Hallazgos críticos (critical)</t>
  </si>
  <si>
    <t xml:space="preserve">Hallazgos serios (serious)</t>
  </si>
  <si>
    <t xml:space="preserve">Hallazgos moderados (moderate)</t>
  </si>
  <si>
    <t xml:space="preserve">Hallazgos menores (minor)</t>
  </si>
  <si>
    <t xml:space="preserve">Total bloqueantes (critical+serious)</t>
  </si>
  <si>
    <t xml:space="preserve">Hallazgos cerrados (Cerrado)</t>
  </si>
  <si>
    <t xml:space="preserve">Hallazgos abiertos (no Cerrado)</t>
  </si>
  <si>
    <t xml:space="preserve">VEREDICTO</t>
  </si>
  <si>
    <t xml:space="preserve">Hallazgos bloqueantes abiertos:</t>
  </si>
  <si>
    <t xml:space="preserve">Estado:</t>
  </si>
  <si>
    <t xml:space="preserve">REGISTRO DE HALLAZGOS DE ACCESIBILIDAD</t>
  </si>
  <si>
    <t xml:space="preserve">Plataforma DTI Níjar · Exp. 18962/2025</t>
  </si>
  <si>
    <t xml:space="preserve">Cada fila es un hallazgo. Las celdas de Severidad y Estado tienen lista desplegable. El Dashboard se actualiza automáticamente.</t>
  </si>
  <si>
    <t xml:space="preserve">ID</t>
  </si>
  <si>
    <t xml:space="preserve">Fecha</t>
  </si>
  <si>
    <t xml:space="preserve">Página</t>
  </si>
  <si>
    <t xml:space="preserve">URL</t>
  </si>
  <si>
    <t xml:space="preserve">Severidad</t>
  </si>
  <si>
    <t xml:space="preserve">Regla axe</t>
  </si>
  <si>
    <t xml:space="preserve">WCAG ref.</t>
  </si>
  <si>
    <t xml:space="preserve">Descripción</t>
  </si>
  <si>
    <t xml:space="preserve">Selector</t>
  </si>
  <si>
    <t xml:space="preserve">Fix propuesto</t>
  </si>
  <si>
    <t xml:space="preserve">Responsable</t>
  </si>
  <si>
    <t xml:space="preserve">Fecha fix</t>
  </si>
  <si>
    <t xml:space="preserve">Fecha re-test</t>
  </si>
  <si>
    <t xml:space="preserve">Estado</t>
  </si>
  <si>
    <t xml:space="preserve">H-0001</t>
  </si>
  <si>
    <t xml:space="preserve">2026-05-08</t>
  </si>
  <si>
    <t xml:space="preserve">totem-home</t>
  </si>
  <si>
    <t xml:space="preserve">http://localhost:8000/totem</t>
  </si>
  <si>
    <t xml:space="preserve">serious</t>
  </si>
  <si>
    <t xml:space="preserve">color-contrast</t>
  </si>
  <si>
    <t xml:space="preserve">wcag2aa, wcag143</t>
  </si>
  <si>
    <t xml:space="preserve">Insufficient color contrast: text has contrast 3.8 (minimum 4.5)</t>
  </si>
  <si>
    <t xml:space="preserve">.totem-eyebrow</t>
  </si>
  <si>
    <t xml:space="preserve">Reforzar opacidad del texto eyebrow en cabecera marino o usar var(--color-text-on-primary)</t>
  </si>
  <si>
    <t xml:space="preserve">Frontend / UX</t>
  </si>
  <si>
    <t xml:space="preserve">Detectado</t>
  </si>
  <si>
    <t xml:space="preserve">REGLAS axe-core MÁS FRECUENTES</t>
  </si>
  <si>
    <t xml:space="preserve">Referencia rápida de las reglas que más suelen aparecer y su corrección típica</t>
  </si>
  <si>
    <t xml:space="preserve">Severidad típica</t>
  </si>
  <si>
    <t xml:space="preserve">Cómo se suele corregir</t>
  </si>
  <si>
    <t xml:space="preserve">Contraste de texto &lt; 4.5:1 (texto normal) o &lt; 3:1 (texto grande/UI).</t>
  </si>
  <si>
    <t xml:space="preserve">Ajustar el color del texto o el fondo en design-tokens.css. Validar con https://webaim.org/resources/contrastchecker/</t>
  </si>
  <si>
    <t xml:space="preserve">button-name</t>
  </si>
  <si>
    <t xml:space="preserve">critical</t>
  </si>
  <si>
    <t xml:space="preserve">Botón sin texto accesible (sin texto visible y sin aria-label).</t>
  </si>
  <si>
    <t xml:space="preserve">Añadir aria-label al botón o texto interno. Para botones con solo icono, usar aria-label='Cerrar' o similar.</t>
  </si>
  <si>
    <t xml:space="preserve">image-alt</t>
  </si>
  <si>
    <t xml:space="preserve">Imagen &lt;img&gt; sin atributo alt.</t>
  </si>
  <si>
    <t xml:space="preserve">Añadir alt='descripción' (decorativa: alt='', informativa: descripción real).</t>
  </si>
  <si>
    <t xml:space="preserve">link-name</t>
  </si>
  <si>
    <t xml:space="preserve">Enlace sin texto accesible.</t>
  </si>
  <si>
    <t xml:space="preserve">Asegurar que &lt;a&gt; contiene texto o aria-label descriptivo. Evitar 'click aquí'.</t>
  </si>
  <si>
    <t xml:space="preserve">label</t>
  </si>
  <si>
    <t xml:space="preserve">Input de formulario sin &lt;label&gt; asociado.</t>
  </si>
  <si>
    <t xml:space="preserve">Añadir &lt;label for='id'&gt; o aria-labelledby. Usar la clase .sr-only si el label debe ser invisible visualmente.</t>
  </si>
  <si>
    <t xml:space="preserve">region</t>
  </si>
  <si>
    <t xml:space="preserve">moderate</t>
  </si>
  <si>
    <t xml:space="preserve">Contenido fuera de un landmark (&lt;header&gt;, &lt;main&gt;, &lt;nav&gt;, etc.).</t>
  </si>
  <si>
    <t xml:space="preserve">Envolver el contenido en un landmark semántico apropiado.</t>
  </si>
  <si>
    <t xml:space="preserve">heading-order</t>
  </si>
  <si>
    <t xml:space="preserve">Headings desordenados (ej. h1 → h3 saltando h2).</t>
  </si>
  <si>
    <t xml:space="preserve">Reordenar headings respetando la jerarquía. h1 una sola vez por página.</t>
  </si>
  <si>
    <t xml:space="preserve">aria-required-attr</t>
  </si>
  <si>
    <t xml:space="preserve">Componente ARIA al que le falta un atributo requerido.</t>
  </si>
  <si>
    <t xml:space="preserve">Consultar la especificación ARIA para el rol concreto (combobox, dialog, etc.).</t>
  </si>
  <si>
    <t xml:space="preserve">html-has-lang</t>
  </si>
  <si>
    <t xml:space="preserve">El elemento &lt;html&gt; no tiene atributo lang.</t>
  </si>
  <si>
    <t xml:space="preserve">Añadir lang='es' (o el idioma activo) al &lt;html&gt;. Ya está en nuestras plantillas.</t>
  </si>
  <si>
    <t xml:space="preserve">landmark-one-main</t>
  </si>
  <si>
    <t xml:space="preserve">Falta &lt;main&gt; o hay más de uno en la página.</t>
  </si>
  <si>
    <t xml:space="preserve">Asegurar exactamente un &lt;main&gt; con role='main' por página.</t>
  </si>
  <si>
    <t xml:space="preserve">focus-order-semantics</t>
  </si>
  <si>
    <t xml:space="preserve">Orden de tabulación incoherente con el orden visual.</t>
  </si>
  <si>
    <t xml:space="preserve">Reordenar el HTML o ajustar tabindex (preferir orden natural sin tabindex&gt;0).</t>
  </si>
  <si>
    <t xml:space="preserve">duplicate-id</t>
  </si>
  <si>
    <t xml:space="preserve">minor</t>
  </si>
  <si>
    <t xml:space="preserve">IDs duplicados en la misma página.</t>
  </si>
  <si>
    <t xml:space="preserve">Renombrar IDs para que sean únicos. Especialmente importante en componentes reutilizados.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</si>
</sst>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3B7A"/>
      <name val="Arial"/>
      <family val="0"/>
      <charset val="1"/>
    </font>
    <font>
      <i val="true"/>
      <sz val="10"/>
      <color rgb="FF4A5568"/>
      <name val="Arial"/>
      <family val="0"/>
      <charset val="1"/>
    </font>
    <font>
      <b val="true"/>
      <sz val="14"/>
      <color rgb="FF003B7A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03B7A"/>
        <bgColor rgb="FF333399"/>
      </patternFill>
    </fill>
    <fill>
      <patternFill patternType="solid">
        <fgColor rgb="FFFCD3CB"/>
        <bgColor rgb="FFE5E7EB"/>
      </patternFill>
    </fill>
    <fill>
      <patternFill patternType="solid">
        <fgColor rgb="FFFCA5A5"/>
        <bgColor rgb="FFFF8080"/>
      </patternFill>
    </fill>
    <fill>
      <patternFill patternType="solid">
        <fgColor rgb="FFFDE68A"/>
        <bgColor rgb="FFFCD3CB"/>
      </patternFill>
    </fill>
    <fill>
      <patternFill patternType="solid">
        <fgColor rgb="FFE5E7EB"/>
        <bgColor rgb="FFD1D5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A"/>
      </left>
      <right style="thin">
        <color rgb="FFD1D5DA"/>
      </right>
      <top style="thin">
        <color rgb="FFD1D5DA"/>
      </top>
      <bottom style="thin">
        <color rgb="FFD1D5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003B7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D3CB"/>
          <bgColor rgb="FF000000"/>
        </patternFill>
      </fill>
    </dxf>
    <dxf>
      <fill>
        <patternFill>
          <bgColor rgb="FFFCA5A5"/>
        </patternFill>
      </fill>
    </dxf>
    <dxf>
      <fill>
        <patternFill>
          <bgColor rgb="FFFCD3CB"/>
        </patternFill>
      </fill>
    </dxf>
    <dxf>
      <fill>
        <patternFill>
          <bgColor rgb="FFFDE68A"/>
        </patternFill>
      </fill>
    </dxf>
    <dxf>
      <fill>
        <patternFill>
          <bgColor rgb="FFE5E7EB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7EB"/>
      <rgbColor rgb="FF660066"/>
      <rgbColor rgb="FFFF8080"/>
      <rgbColor rgb="FF0066CC"/>
      <rgbColor rgb="FFD1D5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DE68A"/>
      <rgbColor rgb="FF99CCFF"/>
      <rgbColor rgb="FFFCA5A5"/>
      <rgbColor rgb="FFCC99FF"/>
      <rgbColor rgb="FFFCD3CB"/>
      <rgbColor rgb="FF3366FF"/>
      <rgbColor rgb="FF33CCCC"/>
      <rgbColor rgb="FF99CC00"/>
      <rgbColor rgb="FFFFCC00"/>
      <rgbColor rgb="FFFF9900"/>
      <rgbColor rgb="FFFF6600"/>
      <rgbColor rgb="FF4A5568"/>
      <rgbColor rgb="FF969696"/>
      <rgbColor rgb="FF003B7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8" min="4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5" customFormat="false" ht="17.35" hidden="false" customHeight="false" outlineLevel="0" collapsed="false">
      <c r="A5" s="3" t="s">
        <v>3</v>
      </c>
      <c r="B5" s="3"/>
      <c r="C5" s="3"/>
      <c r="D5" s="3"/>
      <c r="E5" s="3"/>
      <c r="F5" s="3"/>
      <c r="G5" s="3"/>
      <c r="H5" s="3"/>
    </row>
    <row r="7" customFormat="false" ht="27.75" hidden="false" customHeight="true" outlineLevel="0" collapsed="false">
      <c r="A7" s="4" t="s">
        <v>4</v>
      </c>
      <c r="B7" s="4"/>
      <c r="C7" s="4"/>
      <c r="D7" s="5" t="n">
        <f aca="false">COUNTA(Hallazgos!A6:A1000)</f>
        <v>1</v>
      </c>
      <c r="E7" s="5"/>
      <c r="F7" s="5"/>
      <c r="G7" s="5"/>
      <c r="H7" s="5"/>
    </row>
    <row r="8" customFormat="false" ht="27.75" hidden="false" customHeight="true" outlineLevel="0" collapsed="false">
      <c r="A8" s="4" t="s">
        <v>5</v>
      </c>
      <c r="B8" s="4"/>
      <c r="C8" s="4"/>
      <c r="D8" s="5" t="n">
        <f aca="false">COUNTIF(Hallazgos!E:E,"critical")</f>
        <v>0</v>
      </c>
      <c r="E8" s="5"/>
      <c r="F8" s="5"/>
      <c r="G8" s="5"/>
      <c r="H8" s="5"/>
    </row>
    <row r="9" customFormat="false" ht="27.75" hidden="false" customHeight="true" outlineLevel="0" collapsed="false">
      <c r="A9" s="4" t="s">
        <v>6</v>
      </c>
      <c r="B9" s="4"/>
      <c r="C9" s="4"/>
      <c r="D9" s="5" t="n">
        <f aca="false">COUNTIF(Hallazgos!E:E,"serious")</f>
        <v>1</v>
      </c>
      <c r="E9" s="5"/>
      <c r="F9" s="5"/>
      <c r="G9" s="5"/>
      <c r="H9" s="5"/>
    </row>
    <row r="10" customFormat="false" ht="27.75" hidden="false" customHeight="true" outlineLevel="0" collapsed="false">
      <c r="A10" s="4" t="s">
        <v>7</v>
      </c>
      <c r="B10" s="4"/>
      <c r="C10" s="4"/>
      <c r="D10" s="5" t="n">
        <f aca="false">COUNTIF(Hallazgos!E:E,"moderate")</f>
        <v>0</v>
      </c>
      <c r="E10" s="5"/>
      <c r="F10" s="5"/>
      <c r="G10" s="5"/>
      <c r="H10" s="5"/>
    </row>
    <row r="11" customFormat="false" ht="27.75" hidden="false" customHeight="true" outlineLevel="0" collapsed="false">
      <c r="A11" s="4" t="s">
        <v>8</v>
      </c>
      <c r="B11" s="4"/>
      <c r="C11" s="4"/>
      <c r="D11" s="5" t="n">
        <f aca="false">COUNTIF(Hallazgos!E:E,"minor")</f>
        <v>0</v>
      </c>
      <c r="E11" s="5"/>
      <c r="F11" s="5"/>
      <c r="G11" s="5"/>
      <c r="H11" s="5"/>
    </row>
    <row r="12" customFormat="false" ht="27.75" hidden="false" customHeight="true" outlineLevel="0" collapsed="false">
      <c r="A12" s="4" t="s">
        <v>9</v>
      </c>
      <c r="B12" s="4"/>
      <c r="C12" s="4"/>
      <c r="D12" s="5" t="n">
        <f aca="false">COUNTIF(Hallazgos!E:E,"critical")+COUNTIF(Hallazgos!E:E,"serious")</f>
        <v>1</v>
      </c>
      <c r="E12" s="5"/>
      <c r="F12" s="5"/>
      <c r="G12" s="5"/>
      <c r="H12" s="5"/>
    </row>
    <row r="13" customFormat="false" ht="27.75" hidden="false" customHeight="true" outlineLevel="0" collapsed="false">
      <c r="A13" s="4" t="s">
        <v>10</v>
      </c>
      <c r="B13" s="4"/>
      <c r="C13" s="4"/>
      <c r="D13" s="5" t="n">
        <f aca="false">COUNTIF(Hallazgos!N:N,"Cerrado")</f>
        <v>0</v>
      </c>
      <c r="E13" s="5"/>
      <c r="F13" s="5"/>
      <c r="G13" s="5"/>
      <c r="H13" s="5"/>
    </row>
    <row r="14" customFormat="false" ht="27.75" hidden="false" customHeight="true" outlineLevel="0" collapsed="false">
      <c r="A14" s="4" t="s">
        <v>11</v>
      </c>
      <c r="B14" s="4"/>
      <c r="C14" s="4"/>
      <c r="D14" s="5" t="n">
        <f aca="false">COUNTA(Hallazgos!N6:N1000)-COUNTIF(Hallazgos!N:N,"Cerrado")</f>
        <v>1</v>
      </c>
      <c r="E14" s="5"/>
      <c r="F14" s="5"/>
      <c r="G14" s="5"/>
      <c r="H14" s="5"/>
    </row>
    <row r="16" customFormat="false" ht="17.35" hidden="false" customHeight="false" outlineLevel="0" collapsed="false">
      <c r="A16" s="3" t="s">
        <v>12</v>
      </c>
      <c r="B16" s="3"/>
      <c r="C16" s="3"/>
      <c r="D16" s="3"/>
      <c r="E16" s="3"/>
      <c r="F16" s="3"/>
      <c r="G16" s="3"/>
      <c r="H16" s="3"/>
    </row>
    <row r="18" customFormat="false" ht="17.35" hidden="false" customHeight="false" outlineLevel="0" collapsed="false">
      <c r="A18" s="4" t="s">
        <v>13</v>
      </c>
      <c r="B18" s="4"/>
      <c r="C18" s="4"/>
      <c r="D18" s="6" t="n">
        <f aca="false">COUNTIFS(Hallazgos!E:E,"critical",Hallazgos!N:N,"&lt;&gt;Cerrado")+COUNTIFS(Hallazgos!E:E,"serious",Hallazgos!N:N,"&lt;&gt;Cerrado")</f>
        <v>1</v>
      </c>
      <c r="E18" s="6"/>
      <c r="F18" s="6"/>
      <c r="G18" s="6"/>
      <c r="H18" s="6"/>
    </row>
    <row r="20" customFormat="false" ht="17.35" hidden="false" customHeight="false" outlineLevel="0" collapsed="false">
      <c r="A20" s="4" t="s">
        <v>14</v>
      </c>
      <c r="B20" s="4"/>
      <c r="C20" s="4"/>
      <c r="D20" s="6" t="str">
        <f aca="false">IF(D18=0,"AUDITORÍA SUPERADA ✓","AUDITORÍA FALLIDA - "&amp;D18&amp;" bloqueantes pendientes")</f>
        <v>AUDITORÍA FALLIDA - 1 bloqueantes pendientes</v>
      </c>
      <c r="E20" s="6"/>
      <c r="F20" s="6"/>
      <c r="G20" s="6"/>
      <c r="H20" s="6"/>
    </row>
  </sheetData>
  <mergeCells count="25">
    <mergeCell ref="A1:H1"/>
    <mergeCell ref="A2:H2"/>
    <mergeCell ref="A3:H3"/>
    <mergeCell ref="A5:H5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6:H16"/>
    <mergeCell ref="A18:C18"/>
    <mergeCell ref="D18:H18"/>
    <mergeCell ref="A20:C20"/>
    <mergeCell ref="D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5" min="5" style="0" width="11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50"/>
    <col collapsed="false" customWidth="true" hidden="false" outlineLevel="0" max="9" min="9" style="0" width="28"/>
    <col collapsed="false" customWidth="true" hidden="false" outlineLevel="0" max="10" min="10" style="0" width="50"/>
    <col collapsed="false" customWidth="true" hidden="false" outlineLevel="0" max="11" min="11" style="0" width="16"/>
    <col collapsed="false" customWidth="true" hidden="false" outlineLevel="0" max="13" min="12" style="0" width="12"/>
    <col collapsed="false" customWidth="true" hidden="false" outlineLevel="0" max="14" min="14" style="0" width="16"/>
  </cols>
  <sheetData>
    <row r="1" customFormat="false" ht="17.35" hidden="false" customHeight="false" outlineLevel="0" collapsed="false">
      <c r="A1" s="3" t="s">
        <v>15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customFormat="false" ht="15" hidden="false" customHeight="false" outlineLevel="0" collapsed="false">
      <c r="A2" s="2" t="s">
        <v>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2" t="s">
        <v>17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26.85" hidden="false" customHeight="false" outlineLevel="0" collapsed="false">
      <c r="A5" s="7" t="s">
        <v>18</v>
      </c>
      <c r="B5" s="7" t="s">
        <v>19</v>
      </c>
      <c r="C5" s="7" t="s">
        <v>20</v>
      </c>
      <c r="D5" s="7" t="s">
        <v>21</v>
      </c>
      <c r="E5" s="7" t="s">
        <v>22</v>
      </c>
      <c r="F5" s="7" t="s">
        <v>23</v>
      </c>
      <c r="G5" s="7" t="s">
        <v>24</v>
      </c>
      <c r="H5" s="7" t="s">
        <v>25</v>
      </c>
      <c r="I5" s="7" t="s">
        <v>26</v>
      </c>
      <c r="J5" s="7" t="s">
        <v>27</v>
      </c>
      <c r="K5" s="7" t="s">
        <v>28</v>
      </c>
      <c r="L5" s="7" t="s">
        <v>29</v>
      </c>
      <c r="M5" s="7" t="s">
        <v>30</v>
      </c>
      <c r="N5" s="7" t="s">
        <v>31</v>
      </c>
    </row>
    <row r="6" customFormat="false" ht="60" hidden="false" customHeight="true" outlineLevel="0" collapsed="false">
      <c r="A6" s="8" t="s">
        <v>32</v>
      </c>
      <c r="B6" s="9" t="s">
        <v>33</v>
      </c>
      <c r="C6" s="8" t="s">
        <v>34</v>
      </c>
      <c r="D6" s="8" t="s">
        <v>35</v>
      </c>
      <c r="E6" s="8" t="s">
        <v>36</v>
      </c>
      <c r="F6" s="8" t="s">
        <v>37</v>
      </c>
      <c r="G6" s="8" t="s">
        <v>38</v>
      </c>
      <c r="H6" s="8" t="s">
        <v>39</v>
      </c>
      <c r="I6" s="8" t="s">
        <v>40</v>
      </c>
      <c r="J6" s="8" t="s">
        <v>41</v>
      </c>
      <c r="K6" s="8" t="s">
        <v>42</v>
      </c>
      <c r="L6" s="8"/>
      <c r="M6" s="8"/>
      <c r="N6" s="8" t="s">
        <v>43</v>
      </c>
    </row>
  </sheetData>
  <autoFilter ref="A5:N1000"/>
  <mergeCells count="3">
    <mergeCell ref="A1:N1"/>
    <mergeCell ref="A2:N2"/>
    <mergeCell ref="A4:N4"/>
  </mergeCells>
  <conditionalFormatting sqref="E6:E1000">
    <cfRule type="expression" priority="2" aboveAverage="0" equalAverage="0" bottom="0" percent="0" rank="0" text="" dxfId="5">
      <formula>$E6="critical"</formula>
    </cfRule>
    <cfRule type="expression" priority="3" aboveAverage="0" equalAverage="0" bottom="0" percent="0" rank="0" text="" dxfId="6">
      <formula>$E6="serious"</formula>
    </cfRule>
    <cfRule type="expression" priority="4" aboveAverage="0" equalAverage="0" bottom="0" percent="0" rank="0" text="" dxfId="7">
      <formula>$E6="moderate"</formula>
    </cfRule>
    <cfRule type="expression" priority="5" aboveAverage="0" equalAverage="0" bottom="0" percent="0" rank="0" text="" dxfId="8">
      <formula>$E6="minor"</formula>
    </cfRule>
  </conditionalFormatting>
  <conditionalFormatting sqref="A6:N1000">
    <cfRule type="expression" priority="6" aboveAverage="0" equalAverage="0" bottom="0" percent="0" rank="0" text="" dxfId="9">
      <formula>$N6="Cerrado"</formula>
    </cfRule>
  </conditionalFormatting>
  <dataValidations count="2">
    <dataValidation allowBlank="false" errorStyle="stop" operator="between" showDropDown="false" showErrorMessage="false" showInputMessage="false" sqref="E6:E1000" type="list">
      <formula1>"critical,serious,moderate,minor"</formula1>
      <formula2>0</formula2>
    </dataValidation>
    <dataValidation allowBlank="false" errorStyle="stop" operator="between" showDropDown="false" showErrorMessage="false" showInputMessage="false" sqref="N6:N1000" type="list">
      <formula1>"Detectado,En análisis,En desarrollo,Aplicado,Validado,Cerrado"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50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3" t="s">
        <v>44</v>
      </c>
      <c r="B1" s="3"/>
      <c r="C1" s="3"/>
      <c r="D1" s="3"/>
    </row>
    <row r="2" customFormat="false" ht="15" hidden="false" customHeight="false" outlineLevel="0" collapsed="false">
      <c r="A2" s="2" t="s">
        <v>45</v>
      </c>
      <c r="B2" s="2"/>
      <c r="C2" s="2"/>
      <c r="D2" s="2"/>
    </row>
    <row r="4" customFormat="false" ht="26.85" hidden="false" customHeight="false" outlineLevel="0" collapsed="false">
      <c r="A4" s="7" t="s">
        <v>23</v>
      </c>
      <c r="B4" s="7" t="s">
        <v>46</v>
      </c>
      <c r="C4" s="7" t="s">
        <v>25</v>
      </c>
      <c r="D4" s="7" t="s">
        <v>47</v>
      </c>
    </row>
    <row r="5" customFormat="false" ht="49.5" hidden="false" customHeight="true" outlineLevel="0" collapsed="false">
      <c r="A5" s="8" t="s">
        <v>37</v>
      </c>
      <c r="B5" s="10" t="s">
        <v>36</v>
      </c>
      <c r="C5" s="8" t="s">
        <v>48</v>
      </c>
      <c r="D5" s="8" t="s">
        <v>49</v>
      </c>
    </row>
    <row r="6" customFormat="false" ht="49.5" hidden="false" customHeight="true" outlineLevel="0" collapsed="false">
      <c r="A6" s="8" t="s">
        <v>50</v>
      </c>
      <c r="B6" s="11" t="s">
        <v>51</v>
      </c>
      <c r="C6" s="8" t="s">
        <v>52</v>
      </c>
      <c r="D6" s="8" t="s">
        <v>53</v>
      </c>
    </row>
    <row r="7" customFormat="false" ht="49.5" hidden="false" customHeight="true" outlineLevel="0" collapsed="false">
      <c r="A7" s="8" t="s">
        <v>54</v>
      </c>
      <c r="B7" s="11" t="s">
        <v>51</v>
      </c>
      <c r="C7" s="8" t="s">
        <v>55</v>
      </c>
      <c r="D7" s="8" t="s">
        <v>56</v>
      </c>
    </row>
    <row r="8" customFormat="false" ht="49.5" hidden="false" customHeight="true" outlineLevel="0" collapsed="false">
      <c r="A8" s="8" t="s">
        <v>57</v>
      </c>
      <c r="B8" s="10" t="s">
        <v>36</v>
      </c>
      <c r="C8" s="8" t="s">
        <v>58</v>
      </c>
      <c r="D8" s="8" t="s">
        <v>59</v>
      </c>
    </row>
    <row r="9" customFormat="false" ht="49.5" hidden="false" customHeight="true" outlineLevel="0" collapsed="false">
      <c r="A9" s="8" t="s">
        <v>60</v>
      </c>
      <c r="B9" s="11" t="s">
        <v>51</v>
      </c>
      <c r="C9" s="8" t="s">
        <v>61</v>
      </c>
      <c r="D9" s="8" t="s">
        <v>62</v>
      </c>
    </row>
    <row r="10" customFormat="false" ht="49.5" hidden="false" customHeight="true" outlineLevel="0" collapsed="false">
      <c r="A10" s="8" t="s">
        <v>63</v>
      </c>
      <c r="B10" s="12" t="s">
        <v>64</v>
      </c>
      <c r="C10" s="8" t="s">
        <v>65</v>
      </c>
      <c r="D10" s="8" t="s">
        <v>66</v>
      </c>
    </row>
    <row r="11" customFormat="false" ht="49.5" hidden="false" customHeight="true" outlineLevel="0" collapsed="false">
      <c r="A11" s="8" t="s">
        <v>67</v>
      </c>
      <c r="B11" s="12" t="s">
        <v>64</v>
      </c>
      <c r="C11" s="8" t="s">
        <v>68</v>
      </c>
      <c r="D11" s="8" t="s">
        <v>69</v>
      </c>
    </row>
    <row r="12" customFormat="false" ht="49.5" hidden="false" customHeight="true" outlineLevel="0" collapsed="false">
      <c r="A12" s="8" t="s">
        <v>70</v>
      </c>
      <c r="B12" s="11" t="s">
        <v>51</v>
      </c>
      <c r="C12" s="8" t="s">
        <v>71</v>
      </c>
      <c r="D12" s="8" t="s">
        <v>72</v>
      </c>
    </row>
    <row r="13" customFormat="false" ht="49.5" hidden="false" customHeight="true" outlineLevel="0" collapsed="false">
      <c r="A13" s="8" t="s">
        <v>73</v>
      </c>
      <c r="B13" s="10" t="s">
        <v>36</v>
      </c>
      <c r="C13" s="8" t="s">
        <v>74</v>
      </c>
      <c r="D13" s="8" t="s">
        <v>75</v>
      </c>
    </row>
    <row r="14" customFormat="false" ht="49.5" hidden="false" customHeight="true" outlineLevel="0" collapsed="false">
      <c r="A14" s="8" t="s">
        <v>76</v>
      </c>
      <c r="B14" s="12" t="s">
        <v>64</v>
      </c>
      <c r="C14" s="8" t="s">
        <v>77</v>
      </c>
      <c r="D14" s="8" t="s">
        <v>78</v>
      </c>
    </row>
    <row r="15" customFormat="false" ht="49.5" hidden="false" customHeight="true" outlineLevel="0" collapsed="false">
      <c r="A15" s="8" t="s">
        <v>79</v>
      </c>
      <c r="B15" s="12" t="s">
        <v>64</v>
      </c>
      <c r="C15" s="8" t="s">
        <v>80</v>
      </c>
      <c r="D15" s="8" t="s">
        <v>81</v>
      </c>
    </row>
    <row r="16" customFormat="false" ht="49.5" hidden="false" customHeight="true" outlineLevel="0" collapsed="false">
      <c r="A16" s="8" t="s">
        <v>82</v>
      </c>
      <c r="B16" s="13" t="s">
        <v>83</v>
      </c>
      <c r="C16" s="8" t="s">
        <v>84</v>
      </c>
      <c r="D16" s="8" t="s">
        <v>85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2026-05-08T06:01:47Z</dcterms:created>
  <dc:creator>openpyxl</dc:creator>
  <dc:description/>
  <dc:language>en-US</dc:language>
  <cp:lastModifiedBy/>
  <dcterms:modified xsi:type="dcterms:W3CDTF">2026-05-08T06:01:47Z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