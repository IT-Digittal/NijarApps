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Revisión idoneidad" sheetId="2" state="visible" r:id="rId2"/>
    <sheet name="Mediciones movil" sheetId="3" state="visible" r:id="rId3"/>
    <sheet name="Fibra y WiFi" sheetId="4" state="visible" r:id="rId4"/>
    <sheet name="LoRaWAN" sheetId="5" state="visible" r:id="rId5"/>
    <sheet name="Backbone Ayto" sheetId="6" state="visible" r:id="rId6"/>
    <sheet name="Resumen KPIs" sheetId="7" state="visible" r:id="rId7"/>
    <sheet name="Leyend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003B7A"/>
      <sz val="22"/>
    </font>
    <font>
      <name val="Calibri"/>
      <i val="1"/>
      <color rgb="006B6B6B"/>
      <sz val="13"/>
    </font>
    <font>
      <i val="1"/>
      <color rgb="006B6B6B"/>
      <sz val="10"/>
    </font>
    <font>
      <b val="1"/>
      <color rgb="00003B7A"/>
      <sz val="12"/>
    </font>
    <font>
      <b val="1"/>
      <color rgb="00003B7A"/>
    </font>
    <font>
      <b val="1"/>
    </font>
    <font>
      <sz val="10"/>
    </font>
    <font>
      <name val="Calibri"/>
      <b val="1"/>
      <color rgb="00FAFAF7"/>
      <sz val="12"/>
    </font>
    <font>
      <name val="Calibri"/>
      <b val="1"/>
      <color rgb="00003B7A"/>
      <sz val="10"/>
    </font>
    <font>
      <name val="Calibri"/>
      <b val="1"/>
      <color rgb="00003B7A"/>
      <sz val="9"/>
    </font>
    <font>
      <name val="Calibri"/>
      <sz val="9"/>
    </font>
    <font>
      <b val="1"/>
      <color rgb="00003B7A"/>
      <sz val="9"/>
    </font>
    <font>
      <b val="1"/>
      <color rgb="00FAFAF7"/>
      <sz val="14"/>
    </font>
    <font>
      <b val="1"/>
      <color rgb="00003B7A"/>
      <sz val="18"/>
    </font>
    <font>
      <b val="1"/>
      <color rgb="00FFFFFF"/>
    </font>
    <font>
      <b val="1"/>
      <color rgb="001F3864"/>
      <sz val="13"/>
    </font>
    <font>
      <i val="1"/>
      <color rgb="00666666"/>
      <sz val="9"/>
    </font>
    <font>
      <b val="1"/>
      <color rgb="00333333"/>
      <sz val="10"/>
    </font>
    <font/>
  </fonts>
  <fills count="20">
    <fill>
      <patternFill/>
    </fill>
    <fill>
      <patternFill patternType="gray125"/>
    </fill>
    <fill>
      <patternFill patternType="solid">
        <fgColor rgb="00003B7A"/>
      </patternFill>
    </fill>
    <fill>
      <patternFill patternType="solid">
        <fgColor rgb="00E8EDF4"/>
      </patternFill>
    </fill>
    <fill>
      <patternFill patternType="solid">
        <fgColor rgb="00E8F4F4"/>
      </patternFill>
    </fill>
    <fill>
      <patternFill patternType="solid">
        <fgColor rgb="00FFF4E8"/>
      </patternFill>
    </fill>
    <fill>
      <patternFill patternType="solid">
        <fgColor rgb="00F4E8F0"/>
      </patternFill>
    </fill>
    <fill>
      <patternFill patternType="solid">
        <fgColor rgb="00F0F0E8"/>
      </patternFill>
    </fill>
    <fill>
      <patternFill patternType="solid">
        <fgColor rgb="00F0EDE4"/>
      </patternFill>
    </fill>
    <fill>
      <patternFill patternType="solid">
        <fgColor rgb="00FCE4E4"/>
      </patternFill>
    </fill>
    <fill>
      <patternFill patternType="solid">
        <fgColor rgb="001A8E3E"/>
      </patternFill>
    </fill>
    <fill>
      <patternFill patternType="solid">
        <fgColor rgb="0090C695"/>
      </patternFill>
    </fill>
    <fill>
      <patternFill patternType="solid">
        <fgColor rgb="00F4C430"/>
      </patternFill>
    </fill>
    <fill>
      <patternFill patternType="solid">
        <fgColor rgb="00E08E0B"/>
      </patternFill>
    </fill>
    <fill>
      <patternFill patternType="solid">
        <fgColor rgb="00C0392B"/>
      </patternFill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6D0F0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9" borderId="0" pivotButton="0" quotePrefix="0" xfId="0"/>
    <xf numFmtId="0" fontId="13" fillId="2" borderId="0" applyAlignment="1" pivotButton="0" quotePrefix="0" xfId="0">
      <alignment horizontal="center" vertical="center" wrapText="1"/>
    </xf>
    <xf numFmtId="0" fontId="5" fillId="8" borderId="0" pivotButton="0" quotePrefix="0" xfId="0"/>
    <xf numFmtId="0" fontId="14" fillId="0" borderId="0" pivotButton="0" quotePrefix="0" xfId="0"/>
    <xf numFmtId="0" fontId="15" fillId="10" borderId="0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center" vertical="center" wrapText="1"/>
    </xf>
    <xf numFmtId="0" fontId="15" fillId="13" borderId="0" applyAlignment="1" pivotButton="0" quotePrefix="0" xfId="0">
      <alignment horizontal="center" vertical="center" wrapText="1"/>
    </xf>
    <xf numFmtId="0" fontId="15" fillId="14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pivotButton="0" quotePrefix="0" xfId="0"/>
    <xf numFmtId="0" fontId="15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19" fillId="16" borderId="1" applyAlignment="1" pivotButton="0" quotePrefix="0" xfId="0">
      <alignment vertical="top" wrapText="1"/>
    </xf>
    <xf numFmtId="0" fontId="6" fillId="17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19" fillId="17" borderId="1" applyAlignment="1" pivotButton="0" quotePrefix="0" xfId="0">
      <alignment vertical="top" wrapText="1"/>
    </xf>
    <xf numFmtId="0" fontId="6" fillId="18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  <xf numFmtId="0" fontId="19" fillId="18" borderId="1" applyAlignment="1" pivotButton="0" quotePrefix="0" xfId="0">
      <alignment vertical="top" wrapText="1"/>
    </xf>
    <xf numFmtId="0" fontId="6" fillId="19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19" fillId="1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PLANTILLA DE MEDICIÓN DE COBERTURA</t>
        </is>
      </c>
    </row>
    <row r="3">
      <c r="B3" s="2" t="inlineStr">
        <is>
          <t>Plan Director DTI Níjar · Trabajo de campo</t>
        </is>
      </c>
    </row>
    <row r="4">
      <c r="B4" s="3" t="inlineStr">
        <is>
          <t>Expediente 18962/2025 · IT DIGITTAL</t>
        </is>
      </c>
    </row>
    <row r="6">
      <c r="B6" s="4" t="inlineStr">
        <is>
          <t>OBJETIVO</t>
        </is>
      </c>
    </row>
    <row r="7">
      <c r="B7" s="5" t="inlineStr">
        <is>
          <t>Esta plantilla acompaña al documento «Protocolo de Medición de Cobertura» y permite registrar las mediciones técnicas de conectividad realizadas durante el trabajo de campo del Plan Director DTI. Los datos aquí recogidos alimentan los 6 mapas finales del Capítulo 6 del Plan.</t>
        </is>
      </c>
    </row>
    <row r="8"/>
    <row r="9"/>
    <row r="10"/>
    <row r="12">
      <c r="B12" s="4" t="inlineStr">
        <is>
          <t>CONTENIDO DEL LIBRO</t>
        </is>
      </c>
    </row>
    <row r="13">
      <c r="B13" s="6" t="inlineStr">
        <is>
          <t>Hoja 1</t>
        </is>
      </c>
      <c r="C13" s="7" t="inlineStr">
        <is>
          <t>Portada</t>
        </is>
      </c>
      <c r="D13" t="inlineStr">
        <is>
          <t>Esta página · instrucciones y leyenda</t>
        </is>
      </c>
    </row>
    <row r="14">
      <c r="B14" s="6" t="inlineStr">
        <is>
          <t>Hoja 2</t>
        </is>
      </c>
      <c r="C14" s="7" t="inlineStr">
        <is>
          <t>Mediciones móvil</t>
        </is>
      </c>
      <c r="D14" t="inlineStr">
        <is>
          <t>Mediciones 4G/5G por punto y operador (la principal)</t>
        </is>
      </c>
    </row>
    <row r="15">
      <c r="B15" s="6" t="inlineStr">
        <is>
          <t>Hoja 3</t>
        </is>
      </c>
      <c r="C15" s="7" t="inlineStr">
        <is>
          <t>Fibra y WiFi</t>
        </is>
      </c>
      <c r="D15" t="inlineStr">
        <is>
          <t>Verificación de fibra disponible y WiFi público por punto</t>
        </is>
      </c>
    </row>
    <row r="16">
      <c r="B16" s="6" t="inlineStr">
        <is>
          <t>Hoja 4</t>
        </is>
      </c>
      <c r="C16" s="7" t="inlineStr">
        <is>
          <t>LoRaWAN</t>
        </is>
      </c>
      <c r="D16" t="inlineStr">
        <is>
          <t>Detección de gateways LoRaWAN e idoneidad IoT</t>
        </is>
      </c>
    </row>
    <row r="17">
      <c r="B17" s="6" t="inlineStr">
        <is>
          <t>Hoja 5</t>
        </is>
      </c>
      <c r="C17" s="7" t="inlineStr">
        <is>
          <t>Backbone Ayto</t>
        </is>
      </c>
      <c r="D17" t="inlineStr">
        <is>
          <t>Información del backbone municipal (entrevista TIC)</t>
        </is>
      </c>
    </row>
    <row r="18">
      <c r="B18" s="6" t="inlineStr">
        <is>
          <t>Hoja 6</t>
        </is>
      </c>
      <c r="C18" s="7" t="inlineStr">
        <is>
          <t>Resumen y KPIs</t>
        </is>
      </c>
      <c r="D18" t="inlineStr">
        <is>
          <t>KPIs agregados a calcular tras consolidación</t>
        </is>
      </c>
    </row>
    <row r="19">
      <c r="B19" s="6" t="inlineStr">
        <is>
          <t>Hoja 7</t>
        </is>
      </c>
      <c r="C19" s="7" t="inlineStr">
        <is>
          <t>Leyenda</t>
        </is>
      </c>
      <c r="D19" t="inlineStr">
        <is>
          <t>Umbrales de calidad y códigos de color</t>
        </is>
      </c>
    </row>
    <row r="22">
      <c r="B22" s="4" t="inlineStr">
        <is>
          <t>INSTRUCCIONES DE USO</t>
        </is>
      </c>
    </row>
    <row r="23">
      <c r="B23" s="8" t="inlineStr">
        <is>
          <t>1. Antes de salir: cumplimentar las filas previstas con IDs de puntos del itinerario.</t>
        </is>
      </c>
    </row>
    <row r="24">
      <c r="B24" s="8" t="inlineStr">
        <is>
          <t>2. En campo: rellenar los campos de cada hoja según corresponda al tipo de medición.</t>
        </is>
      </c>
    </row>
    <row r="25">
      <c r="B25" s="8" t="inlineStr">
        <is>
          <t>3. Validación de datos: las celdas con desplegable solo aceptan valores predefinidos.</t>
        </is>
      </c>
    </row>
    <row r="26">
      <c r="B26" s="8" t="inlineStr">
        <is>
          <t>4. Al finalizar cada día: revisar coherencia, guardar copia de seguridad en nube.</t>
        </is>
      </c>
    </row>
    <row r="27">
      <c r="B27" s="8" t="inlineStr">
        <is>
          <t>5. Al finalizar todo el campo: consolidar y exportar a CSV para procesamiento en QGIS.</t>
        </is>
      </c>
    </row>
    <row r="28">
      <c r="B28" s="8" t="inlineStr">
        <is>
          <t>6. Las hojas tienen filas pre-pobladas con los 80 puntos del itinerario.</t>
        </is>
      </c>
    </row>
  </sheetData>
  <mergeCells count="17">
    <mergeCell ref="B28:H28"/>
    <mergeCell ref="D15:H15"/>
    <mergeCell ref="D16:H16"/>
    <mergeCell ref="B26:H26"/>
    <mergeCell ref="B27:H27"/>
    <mergeCell ref="B4:H4"/>
    <mergeCell ref="D19:H19"/>
    <mergeCell ref="D13:H13"/>
    <mergeCell ref="B7:H10"/>
    <mergeCell ref="B24:H24"/>
    <mergeCell ref="B2:H2"/>
    <mergeCell ref="D14:H14"/>
    <mergeCell ref="B25:H25"/>
    <mergeCell ref="B3:H3"/>
    <mergeCell ref="D18:H18"/>
    <mergeCell ref="D17:H17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8" customWidth="1" min="3" max="3"/>
    <col width="34" customWidth="1" min="4" max="4"/>
    <col width="10" customWidth="1" min="5" max="5"/>
    <col width="10" customWidth="1" min="6" max="6"/>
    <col width="16" customWidth="1" min="7" max="7"/>
    <col width="9" customWidth="1" min="8" max="8"/>
    <col width="60" customWidth="1" min="9" max="9"/>
  </cols>
  <sheetData>
    <row r="1">
      <c r="A1" s="27" t="inlineStr">
        <is>
          <t>REVISIÓN DE IDONEIDAD DE LOS PUNTOS DE MEDICIÓN</t>
        </is>
      </c>
    </row>
    <row r="2">
      <c r="A2" s="28" t="inlineStr">
        <is>
          <t>Análisis de los 80 puntos propuestos frente al límite municipal oficial de Níjar (OpenStreetMap) y a la accesibilidad. Coordenadas de referencia APROXIMADAS por núcleo/hito: validar con GPS en campo. IT DIGITTAL · Exp. 18962/2025.</t>
        </is>
      </c>
    </row>
    <row r="3">
      <c r="A3" s="29" t="inlineStr">
        <is>
          <t>Resumen:  OK=47   ·   Acceso medio (confirmar)=14   ·   Acceso difícil=6   ·   FUERA del término (Almería)=13</t>
        </is>
      </c>
    </row>
    <row r="5">
      <c r="A5" s="30" t="inlineStr">
        <is>
          <t>ID Punto</t>
        </is>
      </c>
      <c r="B5" s="30" t="inlineStr">
        <is>
          <t>Día</t>
        </is>
      </c>
      <c r="C5" s="30" t="inlineStr">
        <is>
          <t>Núcleo</t>
        </is>
      </c>
      <c r="D5" s="30" t="inlineStr">
        <is>
          <t>Descripción</t>
        </is>
      </c>
      <c r="E5" s="30" t="inlineStr">
        <is>
          <t>Lat aprox.</t>
        </is>
      </c>
      <c r="F5" s="30" t="inlineStr">
        <is>
          <t>Lon aprox.</t>
        </is>
      </c>
      <c r="G5" s="30" t="inlineStr">
        <is>
          <t>Municipio</t>
        </is>
      </c>
      <c r="H5" s="30" t="inlineStr">
        <is>
          <t>Acceso</t>
        </is>
      </c>
      <c r="I5" s="30" t="inlineStr">
        <is>
          <t>Acción propuesta / Motivo</t>
        </is>
      </c>
    </row>
    <row r="6">
      <c r="A6" s="31" t="inlineStr">
        <is>
          <t>P01-D1</t>
        </is>
      </c>
      <c r="B6" s="32" t="n">
        <v>1</v>
      </c>
      <c r="C6" s="32" t="inlineStr">
        <is>
          <t>Níjar pueblo</t>
        </is>
      </c>
      <c r="D6" s="32" t="inlineStr">
        <is>
          <t>Plaza La Glorieta · centro</t>
        </is>
      </c>
      <c r="E6" s="32" t="n">
        <v>36.966</v>
      </c>
      <c r="F6" s="32" t="n">
        <v>-2.2076</v>
      </c>
      <c r="G6" s="33" t="inlineStr">
        <is>
          <t>Níjar</t>
        </is>
      </c>
      <c r="H6" s="33" t="inlineStr">
        <is>
          <t>Normal</t>
        </is>
      </c>
      <c r="I6" s="32" t="inlineStr">
        <is>
          <t>OK</t>
        </is>
      </c>
    </row>
    <row r="7">
      <c r="A7" s="31" t="inlineStr">
        <is>
          <t>P02-D1</t>
        </is>
      </c>
      <c r="B7" s="32" t="n">
        <v>1</v>
      </c>
      <c r="C7" s="32" t="inlineStr">
        <is>
          <t>Níjar pueblo</t>
        </is>
      </c>
      <c r="D7" s="32" t="inlineStr">
        <is>
          <t>Iglesia Sta María de la Anunciación</t>
        </is>
      </c>
      <c r="E7" s="32" t="n">
        <v>36.9656</v>
      </c>
      <c r="F7" s="32" t="n">
        <v>-2.2071</v>
      </c>
      <c r="G7" s="33" t="inlineStr">
        <is>
          <t>Níjar</t>
        </is>
      </c>
      <c r="H7" s="33" t="inlineStr">
        <is>
          <t>Normal</t>
        </is>
      </c>
      <c r="I7" s="32" t="inlineStr">
        <is>
          <t>OK</t>
        </is>
      </c>
    </row>
    <row r="8">
      <c r="A8" s="31" t="inlineStr">
        <is>
          <t>P03-D1</t>
        </is>
      </c>
      <c r="B8" s="32" t="n">
        <v>1</v>
      </c>
      <c r="C8" s="32" t="inlineStr">
        <is>
          <t>Níjar pueblo</t>
        </is>
      </c>
      <c r="D8" s="32" t="inlineStr">
        <is>
          <t>Mirador casco histórico</t>
        </is>
      </c>
      <c r="E8" s="32" t="n">
        <v>36.9672</v>
      </c>
      <c r="F8" s="32" t="n">
        <v>-2.2088</v>
      </c>
      <c r="G8" s="33" t="inlineStr">
        <is>
          <t>Níjar</t>
        </is>
      </c>
      <c r="H8" s="33" t="inlineStr">
        <is>
          <t>Normal</t>
        </is>
      </c>
      <c r="I8" s="32" t="inlineStr">
        <is>
          <t>OK</t>
        </is>
      </c>
    </row>
    <row r="9">
      <c r="A9" s="31" t="inlineStr">
        <is>
          <t>P04-D1</t>
        </is>
      </c>
      <c r="B9" s="32" t="n">
        <v>1</v>
      </c>
      <c r="C9" s="32" t="inlineStr">
        <is>
          <t>Níjar pueblo</t>
        </is>
      </c>
      <c r="D9" s="32" t="inlineStr">
        <is>
          <t>Plaza Mercado · oficina turismo</t>
        </is>
      </c>
      <c r="E9" s="32" t="n">
        <v>36.9652</v>
      </c>
      <c r="F9" s="32" t="n">
        <v>-2.2065</v>
      </c>
      <c r="G9" s="33" t="inlineStr">
        <is>
          <t>Níjar</t>
        </is>
      </c>
      <c r="H9" s="33" t="inlineStr">
        <is>
          <t>Normal</t>
        </is>
      </c>
      <c r="I9" s="32" t="inlineStr">
        <is>
          <t>OK</t>
        </is>
      </c>
    </row>
    <row r="10">
      <c r="A10" s="31" t="inlineStr">
        <is>
          <t>P05-D1</t>
        </is>
      </c>
      <c r="B10" s="32" t="n">
        <v>1</v>
      </c>
      <c r="C10" s="32" t="inlineStr">
        <is>
          <t>Níjar pueblo</t>
        </is>
      </c>
      <c r="D10" s="32" t="inlineStr">
        <is>
          <t>Calle artesanos cerámica</t>
        </is>
      </c>
      <c r="E10" s="32" t="n">
        <v>36.9648</v>
      </c>
      <c r="F10" s="32" t="n">
        <v>-2.2058</v>
      </c>
      <c r="G10" s="33" t="inlineStr">
        <is>
          <t>Níjar</t>
        </is>
      </c>
      <c r="H10" s="33" t="inlineStr">
        <is>
          <t>Normal</t>
        </is>
      </c>
      <c r="I10" s="32" t="inlineStr">
        <is>
          <t>OK</t>
        </is>
      </c>
    </row>
    <row r="11">
      <c r="A11" s="31" t="inlineStr">
        <is>
          <t>P06-D1</t>
        </is>
      </c>
      <c r="B11" s="32" t="n">
        <v>1</v>
      </c>
      <c r="C11" s="32" t="inlineStr">
        <is>
          <t>Níjar pueblo</t>
        </is>
      </c>
      <c r="D11" s="32" t="inlineStr">
        <is>
          <t>Aparcamiento sur</t>
        </is>
      </c>
      <c r="E11" s="32" t="n">
        <v>36.9635</v>
      </c>
      <c r="F11" s="32" t="n">
        <v>-2.207</v>
      </c>
      <c r="G11" s="33" t="inlineStr">
        <is>
          <t>Níjar</t>
        </is>
      </c>
      <c r="H11" s="33" t="inlineStr">
        <is>
          <t>Normal</t>
        </is>
      </c>
      <c r="I11" s="32" t="inlineStr">
        <is>
          <t>OK</t>
        </is>
      </c>
    </row>
    <row r="12">
      <c r="A12" s="34" t="inlineStr">
        <is>
          <t>P07-D1</t>
        </is>
      </c>
      <c r="B12" s="35" t="n">
        <v>1</v>
      </c>
      <c r="C12" s="35" t="inlineStr">
        <is>
          <t>Huebro</t>
        </is>
      </c>
      <c r="D12" s="35" t="inlineStr">
        <is>
          <t>Núcleo rural</t>
        </is>
      </c>
      <c r="E12" s="35" t="n">
        <v>36.9789</v>
      </c>
      <c r="F12" s="35" t="n">
        <v>-2.1741</v>
      </c>
      <c r="G12" s="36" t="inlineStr">
        <is>
          <t>Níjar</t>
        </is>
      </c>
      <c r="H12" s="36" t="inlineStr">
        <is>
          <t>Medio</t>
        </is>
      </c>
      <c r="I12" s="35" t="inlineStr">
        <is>
          <t>CONFIRMAR ACCESO — Aldea de montaña; carretera estrecha y sinuosa</t>
        </is>
      </c>
    </row>
    <row r="13">
      <c r="A13" s="31" t="inlineStr">
        <is>
          <t>P08-D1</t>
        </is>
      </c>
      <c r="B13" s="32" t="n">
        <v>1</v>
      </c>
      <c r="C13" s="32" t="inlineStr">
        <is>
          <t>Atochares</t>
        </is>
      </c>
      <c r="D13" s="32" t="inlineStr">
        <is>
          <t>Núcleo rural</t>
        </is>
      </c>
      <c r="E13" s="32" t="n">
        <v>36.8951</v>
      </c>
      <c r="F13" s="32" t="n">
        <v>-2.1462</v>
      </c>
      <c r="G13" s="33" t="inlineStr">
        <is>
          <t>Níjar</t>
        </is>
      </c>
      <c r="H13" s="33" t="inlineStr">
        <is>
          <t>Normal</t>
        </is>
      </c>
      <c r="I13" s="32" t="inlineStr">
        <is>
          <t>OK</t>
        </is>
      </c>
    </row>
    <row r="14">
      <c r="A14" s="31" t="inlineStr">
        <is>
          <t>P09-D2</t>
        </is>
      </c>
      <c r="B14" s="32" t="n">
        <v>2</v>
      </c>
      <c r="C14" s="32" t="inlineStr">
        <is>
          <t>San José</t>
        </is>
      </c>
      <c r="D14" s="32" t="inlineStr">
        <is>
          <t>Puerto deportivo</t>
        </is>
      </c>
      <c r="E14" s="32" t="n">
        <v>36.7585</v>
      </c>
      <c r="F14" s="32" t="n">
        <v>-2.1055</v>
      </c>
      <c r="G14" s="33" t="inlineStr">
        <is>
          <t>Níjar</t>
        </is>
      </c>
      <c r="H14" s="33" t="inlineStr">
        <is>
          <t>Normal</t>
        </is>
      </c>
      <c r="I14" s="32" t="inlineStr">
        <is>
          <t>OK</t>
        </is>
      </c>
    </row>
    <row r="15">
      <c r="A15" s="31" t="inlineStr">
        <is>
          <t>P10-D2</t>
        </is>
      </c>
      <c r="B15" s="32" t="n">
        <v>2</v>
      </c>
      <c r="C15" s="32" t="inlineStr">
        <is>
          <t>San José</t>
        </is>
      </c>
      <c r="D15" s="32" t="inlineStr">
        <is>
          <t>Plaza pueblo San José</t>
        </is>
      </c>
      <c r="E15" s="32" t="n">
        <v>36.7605</v>
      </c>
      <c r="F15" s="32" t="n">
        <v>-2.1075</v>
      </c>
      <c r="G15" s="33" t="inlineStr">
        <is>
          <t>Níjar</t>
        </is>
      </c>
      <c r="H15" s="33" t="inlineStr">
        <is>
          <t>Normal</t>
        </is>
      </c>
      <c r="I15" s="32" t="inlineStr">
        <is>
          <t>OK</t>
        </is>
      </c>
    </row>
    <row r="16">
      <c r="A16" s="31" t="inlineStr">
        <is>
          <t>P11-D2</t>
        </is>
      </c>
      <c r="B16" s="32" t="n">
        <v>2</v>
      </c>
      <c r="C16" s="32" t="inlineStr">
        <is>
          <t>San José</t>
        </is>
      </c>
      <c r="D16" s="32" t="inlineStr">
        <is>
          <t>Playa San José</t>
        </is>
      </c>
      <c r="E16" s="32" t="n">
        <v>36.7595</v>
      </c>
      <c r="F16" s="32" t="n">
        <v>-2.1045</v>
      </c>
      <c r="G16" s="33" t="inlineStr">
        <is>
          <t>Níjar</t>
        </is>
      </c>
      <c r="H16" s="33" t="inlineStr">
        <is>
          <t>Normal</t>
        </is>
      </c>
      <c r="I16" s="32" t="inlineStr">
        <is>
          <t>OK</t>
        </is>
      </c>
    </row>
    <row r="17">
      <c r="A17" s="31" t="inlineStr">
        <is>
          <t>P12-D2</t>
        </is>
      </c>
      <c r="B17" s="32" t="n">
        <v>2</v>
      </c>
      <c r="C17" s="32" t="inlineStr">
        <is>
          <t>San José</t>
        </is>
      </c>
      <c r="D17" s="32" t="inlineStr">
        <is>
          <t>Hotel Cortijo El Sotillo</t>
        </is>
      </c>
      <c r="E17" s="32" t="n">
        <v>36.764</v>
      </c>
      <c r="F17" s="32" t="n">
        <v>-2.111</v>
      </c>
      <c r="G17" s="33" t="inlineStr">
        <is>
          <t>Níjar</t>
        </is>
      </c>
      <c r="H17" s="33" t="inlineStr">
        <is>
          <t>Normal</t>
        </is>
      </c>
      <c r="I17" s="32" t="inlineStr">
        <is>
          <t>OK</t>
        </is>
      </c>
    </row>
    <row r="18">
      <c r="A18" s="34" t="inlineStr">
        <is>
          <t>P13-D2</t>
        </is>
      </c>
      <c r="B18" s="35" t="n">
        <v>2</v>
      </c>
      <c r="C18" s="35" t="inlineStr">
        <is>
          <t>Mónsul</t>
        </is>
      </c>
      <c r="D18" s="35" t="inlineStr">
        <is>
          <t>Aparcamiento Mónsul</t>
        </is>
      </c>
      <c r="E18" s="35" t="n">
        <v>36.736</v>
      </c>
      <c r="F18" s="35" t="n">
        <v>-2.125</v>
      </c>
      <c r="G18" s="36" t="inlineStr">
        <is>
          <t>Níjar</t>
        </is>
      </c>
      <c r="H18" s="36" t="inlineStr">
        <is>
          <t>Medio</t>
        </is>
      </c>
      <c r="I18" s="35" t="inlineStr">
        <is>
          <t>CONFIRMAR ACCESO — Aparcamiento con restricción de vehículos en temporada alta</t>
        </is>
      </c>
    </row>
    <row r="19">
      <c r="A19" s="37" t="inlineStr">
        <is>
          <t>P14-D2</t>
        </is>
      </c>
      <c r="B19" s="38" t="n">
        <v>2</v>
      </c>
      <c r="C19" s="38" t="inlineStr">
        <is>
          <t>Mónsul</t>
        </is>
      </c>
      <c r="D19" s="38" t="inlineStr">
        <is>
          <t>Playa Mónsul (orilla)</t>
        </is>
      </c>
      <c r="E19" s="38" t="n">
        <v>36.73</v>
      </c>
      <c r="F19" s="38" t="n">
        <v>-2.129</v>
      </c>
      <c r="G19" s="39" t="inlineStr">
        <is>
          <t>Níjar</t>
        </is>
      </c>
      <c r="H19" s="39" t="inlineStr">
        <is>
          <t>Difícil</t>
        </is>
      </c>
      <c r="I19" s="38" t="inlineStr">
        <is>
          <t>REUBICAR / DESCARTAR — Acceso difícil. Playa protegida; en verano solo bus/bici/pie (acceso rodado cortado)</t>
        </is>
      </c>
    </row>
    <row r="20">
      <c r="A20" s="37" t="inlineStr">
        <is>
          <t>P15-D2</t>
        </is>
      </c>
      <c r="B20" s="38" t="n">
        <v>2</v>
      </c>
      <c r="C20" s="38" t="inlineStr">
        <is>
          <t>Genoveses</t>
        </is>
      </c>
      <c r="D20" s="38" t="inlineStr">
        <is>
          <t>Playa Genoveses</t>
        </is>
      </c>
      <c r="E20" s="38" t="n">
        <v>36.746</v>
      </c>
      <c r="F20" s="38" t="n">
        <v>-2.123</v>
      </c>
      <c r="G20" s="39" t="inlineStr">
        <is>
          <t>Níjar</t>
        </is>
      </c>
      <c r="H20" s="39" t="inlineStr">
        <is>
          <t>Difícil</t>
        </is>
      </c>
      <c r="I20" s="38" t="inlineStr">
        <is>
          <t>REUBICAR / DESCARTAR — Acceso difícil. Playa protegida; en verano solo bus/bici/pie (acceso rodado cortado)</t>
        </is>
      </c>
    </row>
    <row r="21">
      <c r="A21" s="34" t="inlineStr">
        <is>
          <t>P16-D2</t>
        </is>
      </c>
      <c r="B21" s="35" t="n">
        <v>2</v>
      </c>
      <c r="C21" s="35" t="inlineStr">
        <is>
          <t>Genoveses</t>
        </is>
      </c>
      <c r="D21" s="35" t="inlineStr">
        <is>
          <t>Aparcamiento Genoveses</t>
        </is>
      </c>
      <c r="E21" s="35" t="n">
        <v>36.75</v>
      </c>
      <c r="F21" s="35" t="n">
        <v>-2.12</v>
      </c>
      <c r="G21" s="36" t="inlineStr">
        <is>
          <t>Níjar</t>
        </is>
      </c>
      <c r="H21" s="36" t="inlineStr">
        <is>
          <t>Medio</t>
        </is>
      </c>
      <c r="I21" s="35" t="inlineStr">
        <is>
          <t>CONFIRMAR ACCESO — Aparcamiento con restricción estacional</t>
        </is>
      </c>
    </row>
    <row r="22">
      <c r="A22" s="31" t="inlineStr">
        <is>
          <t>P17-D2</t>
        </is>
      </c>
      <c r="B22" s="32" t="n">
        <v>2</v>
      </c>
      <c r="C22" s="32" t="inlineStr">
        <is>
          <t>Los Escullos</t>
        </is>
      </c>
      <c r="D22" s="32" t="inlineStr">
        <is>
          <t>Núcleo + camping</t>
        </is>
      </c>
      <c r="E22" s="32" t="n">
        <v>36.803</v>
      </c>
      <c r="F22" s="32" t="n">
        <v>-2.07</v>
      </c>
      <c r="G22" s="33" t="inlineStr">
        <is>
          <t>Níjar</t>
        </is>
      </c>
      <c r="H22" s="33" t="inlineStr">
        <is>
          <t>Normal</t>
        </is>
      </c>
      <c r="I22" s="32" t="inlineStr">
        <is>
          <t>OK</t>
        </is>
      </c>
    </row>
    <row r="23">
      <c r="A23" s="34" t="inlineStr">
        <is>
          <t>P18-D2</t>
        </is>
      </c>
      <c r="B23" s="35" t="n">
        <v>2</v>
      </c>
      <c r="C23" s="35" t="inlineStr">
        <is>
          <t>Los Escullos</t>
        </is>
      </c>
      <c r="D23" s="35" t="inlineStr">
        <is>
          <t>Castillo San Felipe</t>
        </is>
      </c>
      <c r="E23" s="35" t="n">
        <v>36.806</v>
      </c>
      <c r="F23" s="35" t="n">
        <v>-2.066</v>
      </c>
      <c r="G23" s="36" t="inlineStr">
        <is>
          <t>Níjar</t>
        </is>
      </c>
      <c r="H23" s="36" t="inlineStr">
        <is>
          <t>Medio</t>
        </is>
      </c>
      <c r="I23" s="35" t="inlineStr">
        <is>
          <t>CONFIRMAR ACCESO — Castillo junto a la playa; tramo final a pie</t>
        </is>
      </c>
    </row>
    <row r="24">
      <c r="A24" s="31" t="inlineStr">
        <is>
          <t>P19-D2</t>
        </is>
      </c>
      <c r="B24" s="32" t="n">
        <v>2</v>
      </c>
      <c r="C24" s="32" t="inlineStr">
        <is>
          <t>Pozo Frailes</t>
        </is>
      </c>
      <c r="D24" s="32" t="inlineStr">
        <is>
          <t>Núcleo</t>
        </is>
      </c>
      <c r="E24" s="32" t="n">
        <v>36.782</v>
      </c>
      <c r="F24" s="32" t="n">
        <v>-2.103</v>
      </c>
      <c r="G24" s="33" t="inlineStr">
        <is>
          <t>Níjar</t>
        </is>
      </c>
      <c r="H24" s="33" t="inlineStr">
        <is>
          <t>Normal</t>
        </is>
      </c>
      <c r="I24" s="32" t="inlineStr">
        <is>
          <t>OK</t>
        </is>
      </c>
    </row>
    <row r="25">
      <c r="A25" s="31" t="inlineStr">
        <is>
          <t>P20-D2</t>
        </is>
      </c>
      <c r="B25" s="32" t="n">
        <v>2</v>
      </c>
      <c r="C25" s="32" t="inlineStr">
        <is>
          <t>Carretera AL-100</t>
        </is>
      </c>
      <c r="D25" s="32" t="inlineStr">
        <is>
          <t>Punto intermedio carretera</t>
        </is>
      </c>
      <c r="E25" s="32" t="n">
        <v>36.79</v>
      </c>
      <c r="F25" s="32" t="n">
        <v>-2.12</v>
      </c>
      <c r="G25" s="33" t="inlineStr">
        <is>
          <t>Níjar</t>
        </is>
      </c>
      <c r="H25" s="33" t="inlineStr">
        <is>
          <t>Normal</t>
        </is>
      </c>
      <c r="I25" s="32" t="inlineStr">
        <is>
          <t>OK</t>
        </is>
      </c>
    </row>
    <row r="26">
      <c r="A26" s="31" t="inlineStr">
        <is>
          <t>P21-D2</t>
        </is>
      </c>
      <c r="B26" s="32" t="n">
        <v>2</v>
      </c>
      <c r="C26" s="32" t="inlineStr">
        <is>
          <t>San José</t>
        </is>
      </c>
      <c r="D26" s="32" t="inlineStr">
        <is>
          <t>Restaurante La Ola</t>
        </is>
      </c>
      <c r="E26" s="32" t="n">
        <v>36.759</v>
      </c>
      <c r="F26" s="32" t="n">
        <v>-2.106</v>
      </c>
      <c r="G26" s="33" t="inlineStr">
        <is>
          <t>Níjar</t>
        </is>
      </c>
      <c r="H26" s="33" t="inlineStr">
        <is>
          <t>Normal</t>
        </is>
      </c>
      <c r="I26" s="32" t="inlineStr">
        <is>
          <t>OK</t>
        </is>
      </c>
    </row>
    <row r="27">
      <c r="A27" s="31" t="inlineStr">
        <is>
          <t>P22-D2</t>
        </is>
      </c>
      <c r="B27" s="32" t="n">
        <v>2</v>
      </c>
      <c r="C27" s="32" t="inlineStr">
        <is>
          <t>San José</t>
        </is>
      </c>
      <c r="D27" s="32" t="inlineStr">
        <is>
          <t>Apartamentos turísticos centro</t>
        </is>
      </c>
      <c r="E27" s="32" t="n">
        <v>36.76</v>
      </c>
      <c r="F27" s="32" t="n">
        <v>-2.107</v>
      </c>
      <c r="G27" s="33" t="inlineStr">
        <is>
          <t>Níjar</t>
        </is>
      </c>
      <c r="H27" s="33" t="inlineStr">
        <is>
          <t>Normal</t>
        </is>
      </c>
      <c r="I27" s="32" t="inlineStr">
        <is>
          <t>OK</t>
        </is>
      </c>
    </row>
    <row r="28">
      <c r="A28" s="31" t="inlineStr">
        <is>
          <t>P23-D3</t>
        </is>
      </c>
      <c r="B28" s="32" t="n">
        <v>3</v>
      </c>
      <c r="C28" s="32" t="inlineStr">
        <is>
          <t>Isleta del Moro</t>
        </is>
      </c>
      <c r="D28" s="32" t="inlineStr">
        <is>
          <t>Plaza pueblo</t>
        </is>
      </c>
      <c r="E28" s="32" t="n">
        <v>36.813</v>
      </c>
      <c r="F28" s="32" t="n">
        <v>-2.048</v>
      </c>
      <c r="G28" s="33" t="inlineStr">
        <is>
          <t>Níjar</t>
        </is>
      </c>
      <c r="H28" s="33" t="inlineStr">
        <is>
          <t>Normal</t>
        </is>
      </c>
      <c r="I28" s="32" t="inlineStr">
        <is>
          <t>OK</t>
        </is>
      </c>
    </row>
    <row r="29">
      <c r="A29" s="31" t="inlineStr">
        <is>
          <t>P24-D3</t>
        </is>
      </c>
      <c r="B29" s="32" t="n">
        <v>3</v>
      </c>
      <c r="C29" s="32" t="inlineStr">
        <is>
          <t>Isleta del Moro</t>
        </is>
      </c>
      <c r="D29" s="32" t="inlineStr">
        <is>
          <t>Playa pueblo</t>
        </is>
      </c>
      <c r="E29" s="32" t="n">
        <v>36.8125</v>
      </c>
      <c r="F29" s="32" t="n">
        <v>-2.047</v>
      </c>
      <c r="G29" s="33" t="inlineStr">
        <is>
          <t>Níjar</t>
        </is>
      </c>
      <c r="H29" s="33" t="inlineStr">
        <is>
          <t>Normal</t>
        </is>
      </c>
      <c r="I29" s="32" t="inlineStr">
        <is>
          <t>OK</t>
        </is>
      </c>
    </row>
    <row r="30">
      <c r="A30" s="31" t="inlineStr">
        <is>
          <t>P25-D3</t>
        </is>
      </c>
      <c r="B30" s="32" t="n">
        <v>3</v>
      </c>
      <c r="C30" s="32" t="inlineStr">
        <is>
          <t>Hortichuelas</t>
        </is>
      </c>
      <c r="D30" s="32" t="inlineStr">
        <is>
          <t>Núcleo rural</t>
        </is>
      </c>
      <c r="E30" s="32" t="n">
        <v>36.795</v>
      </c>
      <c r="F30" s="32" t="n">
        <v>-2.135</v>
      </c>
      <c r="G30" s="33" t="inlineStr">
        <is>
          <t>Níjar</t>
        </is>
      </c>
      <c r="H30" s="33" t="inlineStr">
        <is>
          <t>Normal</t>
        </is>
      </c>
      <c r="I30" s="32" t="inlineStr">
        <is>
          <t>OK</t>
        </is>
      </c>
    </row>
    <row r="31">
      <c r="A31" s="31" t="inlineStr">
        <is>
          <t>P26-D3</t>
        </is>
      </c>
      <c r="B31" s="32" t="n">
        <v>3</v>
      </c>
      <c r="C31" s="32" t="inlineStr">
        <is>
          <t>Las Negras</t>
        </is>
      </c>
      <c r="D31" s="32" t="inlineStr">
        <is>
          <t>Plaza pueblo Las Negras</t>
        </is>
      </c>
      <c r="E31" s="32" t="n">
        <v>36.888</v>
      </c>
      <c r="F31" s="32" t="n">
        <v>-2.008</v>
      </c>
      <c r="G31" s="33" t="inlineStr">
        <is>
          <t>Níjar</t>
        </is>
      </c>
      <c r="H31" s="33" t="inlineStr">
        <is>
          <t>Normal</t>
        </is>
      </c>
      <c r="I31" s="32" t="inlineStr">
        <is>
          <t>OK</t>
        </is>
      </c>
    </row>
    <row r="32">
      <c r="A32" s="31" t="inlineStr">
        <is>
          <t>P27-D3</t>
        </is>
      </c>
      <c r="B32" s="32" t="n">
        <v>3</v>
      </c>
      <c r="C32" s="32" t="inlineStr">
        <is>
          <t>Las Negras</t>
        </is>
      </c>
      <c r="D32" s="32" t="inlineStr">
        <is>
          <t>Playa Las Negras</t>
        </is>
      </c>
      <c r="E32" s="32" t="n">
        <v>36.8875</v>
      </c>
      <c r="F32" s="32" t="n">
        <v>-2.006</v>
      </c>
      <c r="G32" s="33" t="inlineStr">
        <is>
          <t>Níjar</t>
        </is>
      </c>
      <c r="H32" s="33" t="inlineStr">
        <is>
          <t>Normal</t>
        </is>
      </c>
      <c r="I32" s="32" t="inlineStr">
        <is>
          <t>OK</t>
        </is>
      </c>
    </row>
    <row r="33">
      <c r="A33" s="37" t="inlineStr">
        <is>
          <t>P28-D3</t>
        </is>
      </c>
      <c r="B33" s="38" t="n">
        <v>3</v>
      </c>
      <c r="C33" s="38" t="inlineStr">
        <is>
          <t>Las Negras</t>
        </is>
      </c>
      <c r="D33" s="38" t="inlineStr">
        <is>
          <t>Acceso pista San Pedro</t>
        </is>
      </c>
      <c r="E33" s="38" t="n">
        <v>36.8955</v>
      </c>
      <c r="F33" s="38" t="n">
        <v>-2.0005</v>
      </c>
      <c r="G33" s="39" t="inlineStr">
        <is>
          <t>Níjar</t>
        </is>
      </c>
      <c r="H33" s="39" t="inlineStr">
        <is>
          <t>Difícil</t>
        </is>
      </c>
      <c r="I33" s="38" t="inlineStr">
        <is>
          <t>REUBICAR / DESCARTAR — Acceso difícil. Pista de tierra hacia Cala San Pedro; no apta para turismo</t>
        </is>
      </c>
    </row>
    <row r="34">
      <c r="A34" s="37" t="inlineStr">
        <is>
          <t>P29-D3</t>
        </is>
      </c>
      <c r="B34" s="38" t="n">
        <v>3</v>
      </c>
      <c r="C34" s="38" t="inlineStr">
        <is>
          <t>Cala San Pedro</t>
        </is>
      </c>
      <c r="D34" s="38" t="inlineStr">
        <is>
          <t>Cala virgen (sin acceso vehículo)</t>
        </is>
      </c>
      <c r="E34" s="38" t="n">
        <v>36.9065</v>
      </c>
      <c r="F34" s="38" t="n">
        <v>-1.995</v>
      </c>
      <c r="G34" s="39" t="inlineStr">
        <is>
          <t>Níjar</t>
        </is>
      </c>
      <c r="H34" s="39" t="inlineStr">
        <is>
          <t>Difícil</t>
        </is>
      </c>
      <c r="I34" s="38" t="inlineStr">
        <is>
          <t>REUBICAR / DESCARTAR — Acceso difícil. Cala virgen SIN acceso rodado: solo a pie (~1 h) o en barco</t>
        </is>
      </c>
    </row>
    <row r="35">
      <c r="A35" s="31" t="inlineStr">
        <is>
          <t>P30-D3</t>
        </is>
      </c>
      <c r="B35" s="32" t="n">
        <v>3</v>
      </c>
      <c r="C35" s="32" t="inlineStr">
        <is>
          <t>Las Negras</t>
        </is>
      </c>
      <c r="D35" s="32" t="inlineStr">
        <is>
          <t>Camping Las Negras</t>
        </is>
      </c>
      <c r="E35" s="32" t="n">
        <v>36.885</v>
      </c>
      <c r="F35" s="32" t="n">
        <v>-2.01</v>
      </c>
      <c r="G35" s="33" t="inlineStr">
        <is>
          <t>Níjar</t>
        </is>
      </c>
      <c r="H35" s="33" t="inlineStr">
        <is>
          <t>Normal</t>
        </is>
      </c>
      <c r="I35" s="32" t="inlineStr">
        <is>
          <t>OK</t>
        </is>
      </c>
    </row>
    <row r="36">
      <c r="A36" s="31" t="inlineStr">
        <is>
          <t>P31-D3</t>
        </is>
      </c>
      <c r="B36" s="32" t="n">
        <v>3</v>
      </c>
      <c r="C36" s="32" t="inlineStr">
        <is>
          <t>Las Negras</t>
        </is>
      </c>
      <c r="D36" s="32" t="inlineStr">
        <is>
          <t>Restaurante puerto</t>
        </is>
      </c>
      <c r="E36" s="32" t="n">
        <v>36.8878</v>
      </c>
      <c r="F36" s="32" t="n">
        <v>-2.0065</v>
      </c>
      <c r="G36" s="33" t="inlineStr">
        <is>
          <t>Níjar</t>
        </is>
      </c>
      <c r="H36" s="33" t="inlineStr">
        <is>
          <t>Normal</t>
        </is>
      </c>
      <c r="I36" s="32" t="inlineStr">
        <is>
          <t>OK</t>
        </is>
      </c>
    </row>
    <row r="37">
      <c r="A37" s="34" t="inlineStr">
        <is>
          <t>P32-D3</t>
        </is>
      </c>
      <c r="B37" s="35" t="n">
        <v>3</v>
      </c>
      <c r="C37" s="35" t="inlineStr">
        <is>
          <t>Carretera AL-4200</t>
        </is>
      </c>
      <c r="D37" s="35" t="inlineStr">
        <is>
          <t>Tramo costero</t>
        </is>
      </c>
      <c r="E37" s="35" t="n">
        <v>36.87</v>
      </c>
      <c r="F37" s="35" t="n">
        <v>-2.03</v>
      </c>
      <c r="G37" s="36" t="inlineStr">
        <is>
          <t>Níjar</t>
        </is>
      </c>
      <c r="H37" s="36" t="inlineStr">
        <is>
          <t>Medio</t>
        </is>
      </c>
      <c r="I37" s="35" t="inlineStr">
        <is>
          <t>CONFIRMAR ACCESO — Tramo de carretera; parada solo en apartaderos</t>
        </is>
      </c>
    </row>
    <row r="38">
      <c r="A38" s="31" t="inlineStr">
        <is>
          <t>P33-D4</t>
        </is>
      </c>
      <c r="B38" s="32" t="n">
        <v>4</v>
      </c>
      <c r="C38" s="32" t="inlineStr">
        <is>
          <t>Agua Amarga</t>
        </is>
      </c>
      <c r="D38" s="32" t="inlineStr">
        <is>
          <t>Plaza pueblo Agua Amarga</t>
        </is>
      </c>
      <c r="E38" s="32" t="n">
        <v>36.94</v>
      </c>
      <c r="F38" s="32" t="n">
        <v>-1.939</v>
      </c>
      <c r="G38" s="33" t="inlineStr">
        <is>
          <t>Níjar</t>
        </is>
      </c>
      <c r="H38" s="33" t="inlineStr">
        <is>
          <t>Normal</t>
        </is>
      </c>
      <c r="I38" s="32" t="inlineStr">
        <is>
          <t>OK</t>
        </is>
      </c>
    </row>
    <row r="39">
      <c r="A39" s="31" t="inlineStr">
        <is>
          <t>P34-D4</t>
        </is>
      </c>
      <c r="B39" s="32" t="n">
        <v>4</v>
      </c>
      <c r="C39" s="32" t="inlineStr">
        <is>
          <t>Agua Amarga</t>
        </is>
      </c>
      <c r="D39" s="32" t="inlineStr">
        <is>
          <t>Playa Agua Amarga</t>
        </is>
      </c>
      <c r="E39" s="32" t="n">
        <v>36.9395</v>
      </c>
      <c r="F39" s="32" t="n">
        <v>-1.938</v>
      </c>
      <c r="G39" s="33" t="inlineStr">
        <is>
          <t>Níjar</t>
        </is>
      </c>
      <c r="H39" s="33" t="inlineStr">
        <is>
          <t>Normal</t>
        </is>
      </c>
      <c r="I39" s="32" t="inlineStr">
        <is>
          <t>OK</t>
        </is>
      </c>
    </row>
    <row r="40">
      <c r="A40" s="37" t="inlineStr">
        <is>
          <t>P35-D4</t>
        </is>
      </c>
      <c r="B40" s="38" t="n">
        <v>4</v>
      </c>
      <c r="C40" s="38" t="inlineStr">
        <is>
          <t>Cala Enmedio</t>
        </is>
      </c>
      <c r="D40" s="38" t="inlineStr">
        <is>
          <t>Punto acceso peatonal</t>
        </is>
      </c>
      <c r="E40" s="38" t="n">
        <v>36.927</v>
      </c>
      <c r="F40" s="38" t="n">
        <v>-1.92</v>
      </c>
      <c r="G40" s="39" t="inlineStr">
        <is>
          <t>Níjar</t>
        </is>
      </c>
      <c r="H40" s="39" t="inlineStr">
        <is>
          <t>Difícil</t>
        </is>
      </c>
      <c r="I40" s="38" t="inlineStr">
        <is>
          <t>REUBICAR / DESCARTAR — Acceso difícil. Cala solo a pie desde Agua Amarga (~30-40 min)</t>
        </is>
      </c>
    </row>
    <row r="41">
      <c r="A41" s="37" t="inlineStr">
        <is>
          <t>P36-D4</t>
        </is>
      </c>
      <c r="B41" s="38" t="n">
        <v>4</v>
      </c>
      <c r="C41" s="38" t="inlineStr">
        <is>
          <t>Cala Enmedio</t>
        </is>
      </c>
      <c r="D41" s="38" t="inlineStr">
        <is>
          <t>Cala virgen mirador</t>
        </is>
      </c>
      <c r="E41" s="38" t="n">
        <v>36.925</v>
      </c>
      <c r="F41" s="38" t="n">
        <v>-1.918</v>
      </c>
      <c r="G41" s="39" t="inlineStr">
        <is>
          <t>Níjar</t>
        </is>
      </c>
      <c r="H41" s="39" t="inlineStr">
        <is>
          <t>Difícil</t>
        </is>
      </c>
      <c r="I41" s="38" t="inlineStr">
        <is>
          <t>REUBICAR / DESCARTAR — Acceso difícil. Mirador de cala virgen; acceso peatonal por sendero</t>
        </is>
      </c>
    </row>
    <row r="42">
      <c r="A42" s="34" t="inlineStr">
        <is>
          <t>P37-D4</t>
        </is>
      </c>
      <c r="B42" s="35" t="n">
        <v>4</v>
      </c>
      <c r="C42" s="35" t="inlineStr">
        <is>
          <t>Mesa Roldán</t>
        </is>
      </c>
      <c r="D42" s="35" t="inlineStr">
        <is>
          <t>Faro y mirador</t>
        </is>
      </c>
      <c r="E42" s="35" t="n">
        <v>36.953</v>
      </c>
      <c r="F42" s="35" t="n">
        <v>-1.911</v>
      </c>
      <c r="G42" s="36" t="inlineStr">
        <is>
          <t>Níjar</t>
        </is>
      </c>
      <c r="H42" s="36" t="inlineStr">
        <is>
          <t>Medio</t>
        </is>
      </c>
      <c r="I42" s="35" t="inlineStr">
        <is>
          <t>CONFIRMAR ACCESO — Faro/mirador con acceso restringido; pista final</t>
        </is>
      </c>
    </row>
    <row r="43">
      <c r="A43" s="31" t="inlineStr">
        <is>
          <t>P38-D4</t>
        </is>
      </c>
      <c r="B43" s="32" t="n">
        <v>4</v>
      </c>
      <c r="C43" s="32" t="inlineStr">
        <is>
          <t>Agua Amarga</t>
        </is>
      </c>
      <c r="D43" s="32" t="inlineStr">
        <is>
          <t>Aparcamiento norte</t>
        </is>
      </c>
      <c r="E43" s="32" t="n">
        <v>36.942</v>
      </c>
      <c r="F43" s="32" t="n">
        <v>-1.94</v>
      </c>
      <c r="G43" s="33" t="inlineStr">
        <is>
          <t>Níjar</t>
        </is>
      </c>
      <c r="H43" s="33" t="inlineStr">
        <is>
          <t>Normal</t>
        </is>
      </c>
      <c r="I43" s="32" t="inlineStr">
        <is>
          <t>OK</t>
        </is>
      </c>
    </row>
    <row r="44">
      <c r="A44" s="31" t="inlineStr">
        <is>
          <t>P39-D4</t>
        </is>
      </c>
      <c r="B44" s="32" t="n">
        <v>4</v>
      </c>
      <c r="C44" s="32" t="inlineStr">
        <is>
          <t>Agua Amarga</t>
        </is>
      </c>
      <c r="D44" s="32" t="inlineStr">
        <is>
          <t>Hotel MiKasa</t>
        </is>
      </c>
      <c r="E44" s="32" t="n">
        <v>36.9405</v>
      </c>
      <c r="F44" s="32" t="n">
        <v>-1.9395</v>
      </c>
      <c r="G44" s="33" t="inlineStr">
        <is>
          <t>Níjar</t>
        </is>
      </c>
      <c r="H44" s="33" t="inlineStr">
        <is>
          <t>Normal</t>
        </is>
      </c>
      <c r="I44" s="32" t="inlineStr">
        <is>
          <t>OK</t>
        </is>
      </c>
    </row>
    <row r="45">
      <c r="A45" s="31" t="inlineStr">
        <is>
          <t>P40-D4</t>
        </is>
      </c>
      <c r="B45" s="32" t="n">
        <v>4</v>
      </c>
      <c r="C45" s="32" t="inlineStr">
        <is>
          <t>Agua Amarga</t>
        </is>
      </c>
      <c r="D45" s="32" t="inlineStr">
        <is>
          <t>Restaurante La Palmera</t>
        </is>
      </c>
      <c r="E45" s="32" t="n">
        <v>36.9398</v>
      </c>
      <c r="F45" s="32" t="n">
        <v>-1.9388</v>
      </c>
      <c r="G45" s="33" t="inlineStr">
        <is>
          <t>Níjar</t>
        </is>
      </c>
      <c r="H45" s="33" t="inlineStr">
        <is>
          <t>Normal</t>
        </is>
      </c>
      <c r="I45" s="32" t="inlineStr">
        <is>
          <t>OK</t>
        </is>
      </c>
    </row>
    <row r="46">
      <c r="A46" s="31" t="inlineStr">
        <is>
          <t>P41-D4</t>
        </is>
      </c>
      <c r="B46" s="32" t="n">
        <v>4</v>
      </c>
      <c r="C46" s="32" t="inlineStr">
        <is>
          <t>Agua Amarga</t>
        </is>
      </c>
      <c r="D46" s="32" t="inlineStr">
        <is>
          <t>Punto medio AL-7106</t>
        </is>
      </c>
      <c r="E46" s="32" t="n">
        <v>36.96</v>
      </c>
      <c r="F46" s="32" t="n">
        <v>-1.96</v>
      </c>
      <c r="G46" s="33" t="inlineStr">
        <is>
          <t>Níjar</t>
        </is>
      </c>
      <c r="H46" s="33" t="inlineStr">
        <is>
          <t>Normal</t>
        </is>
      </c>
      <c r="I46" s="32" t="inlineStr">
        <is>
          <t>OK</t>
        </is>
      </c>
    </row>
    <row r="47">
      <c r="A47" s="31" t="inlineStr">
        <is>
          <t>P42-D4</t>
        </is>
      </c>
      <c r="B47" s="32" t="n">
        <v>4</v>
      </c>
      <c r="C47" s="32" t="inlineStr">
        <is>
          <t>Sede Parque</t>
        </is>
      </c>
      <c r="D47" s="32" t="inlineStr">
        <is>
          <t>Rodalquilar c/Fundición s/n</t>
        </is>
      </c>
      <c r="E47" s="32" t="n">
        <v>36.851</v>
      </c>
      <c r="F47" s="32" t="n">
        <v>-2.038</v>
      </c>
      <c r="G47" s="33" t="inlineStr">
        <is>
          <t>Níjar</t>
        </is>
      </c>
      <c r="H47" s="33" t="inlineStr">
        <is>
          <t>Normal</t>
        </is>
      </c>
      <c r="I47" s="32" t="inlineStr">
        <is>
          <t>OK</t>
        </is>
      </c>
    </row>
    <row r="48">
      <c r="A48" s="31" t="inlineStr">
        <is>
          <t>P43-D4</t>
        </is>
      </c>
      <c r="B48" s="32" t="n">
        <v>4</v>
      </c>
      <c r="C48" s="32" t="inlineStr">
        <is>
          <t>Rodalquilar</t>
        </is>
      </c>
      <c r="D48" s="32" t="inlineStr">
        <is>
          <t>Plaza pueblo · primera visita</t>
        </is>
      </c>
      <c r="E48" s="32" t="n">
        <v>36.8505</v>
      </c>
      <c r="F48" s="32" t="n">
        <v>-2.0375</v>
      </c>
      <c r="G48" s="33" t="inlineStr">
        <is>
          <t>Níjar</t>
        </is>
      </c>
      <c r="H48" s="33" t="inlineStr">
        <is>
          <t>Normal</t>
        </is>
      </c>
      <c r="I48" s="32" t="inlineStr">
        <is>
          <t>OK</t>
        </is>
      </c>
    </row>
    <row r="49">
      <c r="A49" s="31" t="inlineStr">
        <is>
          <t>P44-D5</t>
        </is>
      </c>
      <c r="B49" s="32" t="n">
        <v>5</v>
      </c>
      <c r="C49" s="32" t="inlineStr">
        <is>
          <t>Rodalquilar</t>
        </is>
      </c>
      <c r="D49" s="32" t="inlineStr">
        <is>
          <t>🔴 Tótem 1 propuesto · inicio ruta</t>
        </is>
      </c>
      <c r="E49" s="32" t="n">
        <v>36.8508</v>
      </c>
      <c r="F49" s="32" t="n">
        <v>-2.0378</v>
      </c>
      <c r="G49" s="33" t="inlineStr">
        <is>
          <t>Níjar</t>
        </is>
      </c>
      <c r="H49" s="33" t="inlineStr">
        <is>
          <t>Normal</t>
        </is>
      </c>
      <c r="I49" s="32" t="inlineStr">
        <is>
          <t>OK</t>
        </is>
      </c>
    </row>
    <row r="50">
      <c r="A50" s="31" t="inlineStr">
        <is>
          <t>P45-D5</t>
        </is>
      </c>
      <c r="B50" s="32" t="n">
        <v>5</v>
      </c>
      <c r="C50" s="32" t="inlineStr">
        <is>
          <t>Rodalquilar</t>
        </is>
      </c>
      <c r="D50" s="32" t="inlineStr">
        <is>
          <t>Centro Visitantes Parque Natural</t>
        </is>
      </c>
      <c r="E50" s="32" t="n">
        <v>36.8512</v>
      </c>
      <c r="F50" s="32" t="n">
        <v>-2.0382</v>
      </c>
      <c r="G50" s="33" t="inlineStr">
        <is>
          <t>Níjar</t>
        </is>
      </c>
      <c r="H50" s="33" t="inlineStr">
        <is>
          <t>Normal</t>
        </is>
      </c>
      <c r="I50" s="32" t="inlineStr">
        <is>
          <t>OK</t>
        </is>
      </c>
    </row>
    <row r="51">
      <c r="A51" s="31" t="inlineStr">
        <is>
          <t>P46-D5</t>
        </is>
      </c>
      <c r="B51" s="32" t="n">
        <v>5</v>
      </c>
      <c r="C51" s="32" t="inlineStr">
        <is>
          <t>Rodalquilar</t>
        </is>
      </c>
      <c r="D51" s="32" t="inlineStr">
        <is>
          <t>Pueblo · plaza minera</t>
        </is>
      </c>
      <c r="E51" s="32" t="n">
        <v>36.8506</v>
      </c>
      <c r="F51" s="32" t="n">
        <v>-2.0372</v>
      </c>
      <c r="G51" s="33" t="inlineStr">
        <is>
          <t>Níjar</t>
        </is>
      </c>
      <c r="H51" s="33" t="inlineStr">
        <is>
          <t>Normal</t>
        </is>
      </c>
      <c r="I51" s="32" t="inlineStr">
        <is>
          <t>OK</t>
        </is>
      </c>
    </row>
    <row r="52">
      <c r="A52" s="34" t="inlineStr">
        <is>
          <t>P47-D5</t>
        </is>
      </c>
      <c r="B52" s="35" t="n">
        <v>5</v>
      </c>
      <c r="C52" s="35" t="inlineStr">
        <is>
          <t>Rodalquilar</t>
        </is>
      </c>
      <c r="D52" s="35" t="inlineStr">
        <is>
          <t>El Playazo · aparcamiento</t>
        </is>
      </c>
      <c r="E52" s="35" t="n">
        <v>36.86</v>
      </c>
      <c r="F52" s="35" t="n">
        <v>-2.0205</v>
      </c>
      <c r="G52" s="36" t="inlineStr">
        <is>
          <t>Níjar</t>
        </is>
      </c>
      <c r="H52" s="36" t="inlineStr">
        <is>
          <t>Medio</t>
        </is>
      </c>
      <c r="I52" s="35" t="inlineStr">
        <is>
          <t>CONFIRMAR ACCESO — Playa El Playazo; pista de acceso de tierra</t>
        </is>
      </c>
    </row>
    <row r="53">
      <c r="A53" s="34" t="inlineStr">
        <is>
          <t>P48-D5</t>
        </is>
      </c>
      <c r="B53" s="35" t="n">
        <v>5</v>
      </c>
      <c r="C53" s="35" t="inlineStr">
        <is>
          <t>Rodalquilar</t>
        </is>
      </c>
      <c r="D53" s="35" t="inlineStr">
        <is>
          <t>El Playazo · castillo San Ramón</t>
        </is>
      </c>
      <c r="E53" s="35" t="n">
        <v>36.8625</v>
      </c>
      <c r="F53" s="35" t="n">
        <v>-2.0185</v>
      </c>
      <c r="G53" s="36" t="inlineStr">
        <is>
          <t>Níjar</t>
        </is>
      </c>
      <c r="H53" s="36" t="inlineStr">
        <is>
          <t>Medio</t>
        </is>
      </c>
      <c r="I53" s="35" t="inlineStr">
        <is>
          <t>CONFIRMAR ACCESO — Castillo junto a El Playazo; tramo a pie</t>
        </is>
      </c>
    </row>
    <row r="54">
      <c r="A54" s="34" t="inlineStr">
        <is>
          <t>P49-D5</t>
        </is>
      </c>
      <c r="B54" s="35" t="n">
        <v>5</v>
      </c>
      <c r="C54" s="35" t="inlineStr">
        <is>
          <t>Ruta ciclista</t>
        </is>
      </c>
      <c r="D54" s="35" t="inlineStr">
        <is>
          <t>Km 2 ruta · Cortijo del Fraile</t>
        </is>
      </c>
      <c r="E54" s="35" t="n">
        <v>36.865</v>
      </c>
      <c r="F54" s="35" t="n">
        <v>-2.045</v>
      </c>
      <c r="G54" s="36" t="inlineStr">
        <is>
          <t>Níjar</t>
        </is>
      </c>
      <c r="H54" s="36" t="inlineStr">
        <is>
          <t>Medio</t>
        </is>
      </c>
      <c r="I54" s="35" t="inlineStr">
        <is>
          <t>CONFIRMAR ACCESO — Ruta ciclista por pista; sin acceso rodado normal</t>
        </is>
      </c>
    </row>
    <row r="55">
      <c r="A55" s="34" t="inlineStr">
        <is>
          <t>P50-D5</t>
        </is>
      </c>
      <c r="B55" s="35" t="n">
        <v>5</v>
      </c>
      <c r="C55" s="35" t="inlineStr">
        <is>
          <t>Ruta ciclista</t>
        </is>
      </c>
      <c r="D55" s="35" t="inlineStr">
        <is>
          <t>Km 4 ruta · llano</t>
        </is>
      </c>
      <c r="E55" s="35" t="n">
        <v>36.872</v>
      </c>
      <c r="F55" s="35" t="n">
        <v>-2.055</v>
      </c>
      <c r="G55" s="36" t="inlineStr">
        <is>
          <t>Níjar</t>
        </is>
      </c>
      <c r="H55" s="36" t="inlineStr">
        <is>
          <t>Medio</t>
        </is>
      </c>
      <c r="I55" s="35" t="inlineStr">
        <is>
          <t>CONFIRMAR ACCESO — Ruta ciclista por pista</t>
        </is>
      </c>
    </row>
    <row r="56">
      <c r="A56" s="34" t="inlineStr">
        <is>
          <t>P51-D5</t>
        </is>
      </c>
      <c r="B56" s="35" t="n">
        <v>5</v>
      </c>
      <c r="C56" s="35" t="inlineStr">
        <is>
          <t>Ruta ciclista</t>
        </is>
      </c>
      <c r="D56" s="35" t="inlineStr">
        <is>
          <t>Km 6 ruta · descenso</t>
        </is>
      </c>
      <c r="E56" s="35" t="n">
        <v>36.878</v>
      </c>
      <c r="F56" s="35" t="n">
        <v>-2.068</v>
      </c>
      <c r="G56" s="36" t="inlineStr">
        <is>
          <t>Níjar</t>
        </is>
      </c>
      <c r="H56" s="36" t="inlineStr">
        <is>
          <t>Medio</t>
        </is>
      </c>
      <c r="I56" s="35" t="inlineStr">
        <is>
          <t>CONFIRMAR ACCESO — Ruta ciclista por pista</t>
        </is>
      </c>
    </row>
    <row r="57">
      <c r="A57" s="34" t="inlineStr">
        <is>
          <t>P52-D5</t>
        </is>
      </c>
      <c r="B57" s="35" t="n">
        <v>5</v>
      </c>
      <c r="C57" s="35" t="inlineStr">
        <is>
          <t>Ruta ciclista</t>
        </is>
      </c>
      <c r="D57" s="35" t="inlineStr">
        <is>
          <t>Km 8 ruta · curva</t>
        </is>
      </c>
      <c r="E57" s="35" t="n">
        <v>36.88</v>
      </c>
      <c r="F57" s="35" t="n">
        <v>-2.08</v>
      </c>
      <c r="G57" s="36" t="inlineStr">
        <is>
          <t>Níjar</t>
        </is>
      </c>
      <c r="H57" s="36" t="inlineStr">
        <is>
          <t>Medio</t>
        </is>
      </c>
      <c r="I57" s="35" t="inlineStr">
        <is>
          <t>CONFIRMAR ACCESO — Ruta ciclista por pista</t>
        </is>
      </c>
    </row>
    <row r="58">
      <c r="A58" s="34" t="inlineStr">
        <is>
          <t>P53-D5</t>
        </is>
      </c>
      <c r="B58" s="35" t="n">
        <v>5</v>
      </c>
      <c r="C58" s="35" t="inlineStr">
        <is>
          <t>Ruta ciclista</t>
        </is>
      </c>
      <c r="D58" s="35" t="inlineStr">
        <is>
          <t>Km 10 ruta · mirador</t>
        </is>
      </c>
      <c r="E58" s="35" t="n">
        <v>36.882</v>
      </c>
      <c r="F58" s="35" t="n">
        <v>-2.09</v>
      </c>
      <c r="G58" s="36" t="inlineStr">
        <is>
          <t>Níjar</t>
        </is>
      </c>
      <c r="H58" s="36" t="inlineStr">
        <is>
          <t>Medio</t>
        </is>
      </c>
      <c r="I58" s="35" t="inlineStr">
        <is>
          <t>CONFIRMAR ACCESO — Ruta ciclista por pista</t>
        </is>
      </c>
    </row>
    <row r="59">
      <c r="A59" s="31" t="inlineStr">
        <is>
          <t>P54-D5</t>
        </is>
      </c>
      <c r="B59" s="32" t="n">
        <v>5</v>
      </c>
      <c r="C59" s="32" t="inlineStr">
        <is>
          <t>Los Albaricoques</t>
        </is>
      </c>
      <c r="D59" s="32" t="inlineStr">
        <is>
          <t>🔴 Tótem 2 propuesto · fin ruta</t>
        </is>
      </c>
      <c r="E59" s="32" t="n">
        <v>36.884</v>
      </c>
      <c r="F59" s="32" t="n">
        <v>-2.098</v>
      </c>
      <c r="G59" s="33" t="inlineStr">
        <is>
          <t>Níjar</t>
        </is>
      </c>
      <c r="H59" s="33" t="inlineStr">
        <is>
          <t>Normal</t>
        </is>
      </c>
      <c r="I59" s="32" t="inlineStr">
        <is>
          <t>OK</t>
        </is>
      </c>
    </row>
    <row r="60">
      <c r="A60" s="31" t="inlineStr">
        <is>
          <t>P55-D5</t>
        </is>
      </c>
      <c r="B60" s="32" t="n">
        <v>5</v>
      </c>
      <c r="C60" s="32" t="inlineStr">
        <is>
          <t>Los Albaricoques</t>
        </is>
      </c>
      <c r="D60" s="32" t="inlineStr">
        <is>
          <t>Plaza pueblo Albaricoques</t>
        </is>
      </c>
      <c r="E60" s="32" t="n">
        <v>36.8842</v>
      </c>
      <c r="F60" s="32" t="n">
        <v>-2.0982</v>
      </c>
      <c r="G60" s="33" t="inlineStr">
        <is>
          <t>Níjar</t>
        </is>
      </c>
      <c r="H60" s="33" t="inlineStr">
        <is>
          <t>Normal</t>
        </is>
      </c>
      <c r="I60" s="32" t="inlineStr">
        <is>
          <t>OK</t>
        </is>
      </c>
    </row>
    <row r="61">
      <c r="A61" s="31" t="inlineStr">
        <is>
          <t>P56-D5</t>
        </is>
      </c>
      <c r="B61" s="32" t="n">
        <v>5</v>
      </c>
      <c r="C61" s="32" t="inlineStr">
        <is>
          <t>Los Albaricoques</t>
        </is>
      </c>
      <c r="D61" s="32" t="inlineStr">
        <is>
          <t>Hotel Alba</t>
        </is>
      </c>
      <c r="E61" s="32" t="n">
        <v>36.8838</v>
      </c>
      <c r="F61" s="32" t="n">
        <v>-2.0975</v>
      </c>
      <c r="G61" s="33" t="inlineStr">
        <is>
          <t>Níjar</t>
        </is>
      </c>
      <c r="H61" s="33" t="inlineStr">
        <is>
          <t>Normal</t>
        </is>
      </c>
      <c r="I61" s="32" t="inlineStr">
        <is>
          <t>OK</t>
        </is>
      </c>
    </row>
    <row r="62">
      <c r="A62" s="40" t="inlineStr">
        <is>
          <t>P57-D6</t>
        </is>
      </c>
      <c r="B62" s="41" t="n">
        <v>6</v>
      </c>
      <c r="C62" s="41" t="inlineStr">
        <is>
          <t>Cabo de Gata pueblo</t>
        </is>
      </c>
      <c r="D62" s="41" t="inlineStr">
        <is>
          <t>Plaza pueblo</t>
        </is>
      </c>
      <c r="E62" s="41" t="n">
        <v>36.789</v>
      </c>
      <c r="F62" s="41" t="n">
        <v>-2.236</v>
      </c>
      <c r="G62" s="42" t="inlineStr">
        <is>
          <t>Fuera (Almería)</t>
        </is>
      </c>
      <c r="H62" s="42" t="inlineStr">
        <is>
          <t>Normal</t>
        </is>
      </c>
      <c r="I62" s="41" t="inlineStr">
        <is>
          <t>DESCARTAR / SUSTITUIR — Fuera del término municipal de Níjar (pertenece a Almería). Reemplazar por un punto equivalente dentro de Níjar.</t>
        </is>
      </c>
    </row>
    <row r="63">
      <c r="A63" s="40" t="inlineStr">
        <is>
          <t>P58-D6</t>
        </is>
      </c>
      <c r="B63" s="41" t="n">
        <v>6</v>
      </c>
      <c r="C63" s="41" t="inlineStr">
        <is>
          <t>Cabo de Gata pueblo</t>
        </is>
      </c>
      <c r="D63" s="41" t="inlineStr">
        <is>
          <t>Almadraba Monteleva</t>
        </is>
      </c>
      <c r="E63" s="41" t="n">
        <v>36.775</v>
      </c>
      <c r="F63" s="41" t="n">
        <v>-2.228</v>
      </c>
      <c r="G63" s="42" t="inlineStr">
        <is>
          <t>Fuera (Almería)</t>
        </is>
      </c>
      <c r="H63" s="42" t="inlineStr">
        <is>
          <t>Normal</t>
        </is>
      </c>
      <c r="I63" s="41" t="inlineStr">
        <is>
          <t>DESCARTAR / SUSTITUIR — Fuera del término municipal de Níjar (pertenece a Almería). Reemplazar por un punto equivalente dentro de Níjar.</t>
        </is>
      </c>
    </row>
    <row r="64">
      <c r="A64" s="40" t="inlineStr">
        <is>
          <t>P59-D6</t>
        </is>
      </c>
      <c r="B64" s="41" t="n">
        <v>6</v>
      </c>
      <c r="C64" s="41" t="inlineStr">
        <is>
          <t>Cabo de Gata pueblo</t>
        </is>
      </c>
      <c r="D64" s="41" t="inlineStr">
        <is>
          <t>Iglesia Almadraba</t>
        </is>
      </c>
      <c r="E64" s="41" t="n">
        <v>36.772</v>
      </c>
      <c r="F64" s="41" t="n">
        <v>-2.227</v>
      </c>
      <c r="G64" s="42" t="inlineStr">
        <is>
          <t>Fuera (Almería)</t>
        </is>
      </c>
      <c r="H64" s="42" t="inlineStr">
        <is>
          <t>Normal</t>
        </is>
      </c>
      <c r="I64" s="41" t="inlineStr">
        <is>
          <t>DESCARTAR / SUSTITUIR — Fuera del término municipal de Níjar (pertenece a Almería). Reemplazar por un punto equivalente dentro de Níjar.</t>
        </is>
      </c>
    </row>
    <row r="65">
      <c r="A65" s="40" t="inlineStr">
        <is>
          <t>P60-D6</t>
        </is>
      </c>
      <c r="B65" s="41" t="n">
        <v>6</v>
      </c>
      <c r="C65" s="41" t="inlineStr">
        <is>
          <t>Salinas</t>
        </is>
      </c>
      <c r="D65" s="41" t="inlineStr">
        <is>
          <t>Centro Visitantes Salinas</t>
        </is>
      </c>
      <c r="E65" s="41" t="n">
        <v>36.77</v>
      </c>
      <c r="F65" s="41" t="n">
        <v>-2.225</v>
      </c>
      <c r="G65" s="42" t="inlineStr">
        <is>
          <t>Fuera (Almería)</t>
        </is>
      </c>
      <c r="H65" s="42" t="inlineStr">
        <is>
          <t>Normal</t>
        </is>
      </c>
      <c r="I65" s="41" t="inlineStr">
        <is>
          <t>DESCARTAR / SUSTITUIR — Fuera del término municipal de Níjar (pertenece a Almería). Reemplazar por un punto equivalente dentro de Níjar.</t>
        </is>
      </c>
    </row>
    <row r="66">
      <c r="A66" s="40" t="inlineStr">
        <is>
          <t>P61-D6</t>
        </is>
      </c>
      <c r="B66" s="41" t="n">
        <v>6</v>
      </c>
      <c r="C66" s="41" t="inlineStr">
        <is>
          <t>Salinas</t>
        </is>
      </c>
      <c r="D66" s="41" t="inlineStr">
        <is>
          <t>Mirador flamencos</t>
        </is>
      </c>
      <c r="E66" s="41" t="n">
        <v>36.765</v>
      </c>
      <c r="F66" s="41" t="n">
        <v>-2.22</v>
      </c>
      <c r="G66" s="42" t="inlineStr">
        <is>
          <t>Fuera (Almería)</t>
        </is>
      </c>
      <c r="H66" s="42" t="inlineStr">
        <is>
          <t>Normal</t>
        </is>
      </c>
      <c r="I66" s="41" t="inlineStr">
        <is>
          <t>DESCARTAR / SUSTITUIR — Fuera del término municipal de Níjar (pertenece a Almería). Reemplazar por un punto equivalente dentro de Níjar.</t>
        </is>
      </c>
    </row>
    <row r="67">
      <c r="A67" s="40" t="inlineStr">
        <is>
          <t>P62-D6</t>
        </is>
      </c>
      <c r="B67" s="41" t="n">
        <v>6</v>
      </c>
      <c r="C67" s="41" t="inlineStr">
        <is>
          <t>Faro Cabo Gata</t>
        </is>
      </c>
      <c r="D67" s="41" t="inlineStr">
        <is>
          <t>Faro extremo sur</t>
        </is>
      </c>
      <c r="E67" s="41" t="n">
        <v>36.722</v>
      </c>
      <c r="F67" s="41" t="n">
        <v>-2.192</v>
      </c>
      <c r="G67" s="42" t="inlineStr">
        <is>
          <t>Fuera (Almería)</t>
        </is>
      </c>
      <c r="H67" s="42" t="inlineStr">
        <is>
          <t>Medio</t>
        </is>
      </c>
      <c r="I67" s="41" t="inlineStr">
        <is>
          <t>DESCARTAR / SUSTITUIR — Fuera del término municipal de Níjar (pertenece a Almería). Faro extremo sur; carretera hasta el faro</t>
        </is>
      </c>
    </row>
    <row r="68">
      <c r="A68" s="40" t="inlineStr">
        <is>
          <t>P63-D6</t>
        </is>
      </c>
      <c r="B68" s="41" t="n">
        <v>6</v>
      </c>
      <c r="C68" s="41" t="inlineStr">
        <is>
          <t>Faro Cabo Gata</t>
        </is>
      </c>
      <c r="D68" s="41" t="inlineStr">
        <is>
          <t>Mirador Vela Blanca</t>
        </is>
      </c>
      <c r="E68" s="41" t="n">
        <v>36.718</v>
      </c>
      <c r="F68" s="41" t="n">
        <v>-2.2</v>
      </c>
      <c r="G68" s="42" t="inlineStr">
        <is>
          <t>Fuera (Almería)</t>
        </is>
      </c>
      <c r="H68" s="42" t="inlineStr">
        <is>
          <t>Difícil</t>
        </is>
      </c>
      <c r="I68" s="41" t="inlineStr">
        <is>
          <t>DESCARTAR / SUSTITUIR — Fuera del término municipal de Níjar (pertenece a Almería). Vela Blanca: barrera; tramo solo a pie/bici</t>
        </is>
      </c>
    </row>
    <row r="69">
      <c r="A69" s="40" t="inlineStr">
        <is>
          <t>P64-D6</t>
        </is>
      </c>
      <c r="B69" s="41" t="n">
        <v>6</v>
      </c>
      <c r="C69" s="41" t="inlineStr">
        <is>
          <t>Playa Cabo Gata</t>
        </is>
      </c>
      <c r="D69" s="41" t="inlineStr">
        <is>
          <t>Playa pueblo Cabo Gata</t>
        </is>
      </c>
      <c r="E69" s="41" t="n">
        <v>36.79</v>
      </c>
      <c r="F69" s="41" t="n">
        <v>-2.23</v>
      </c>
      <c r="G69" s="42" t="inlineStr">
        <is>
          <t>Fuera (Almería)</t>
        </is>
      </c>
      <c r="H69" s="42" t="inlineStr">
        <is>
          <t>Normal</t>
        </is>
      </c>
      <c r="I69" s="41" t="inlineStr">
        <is>
          <t>DESCARTAR / SUSTITUIR — Fuera del término municipal de Níjar (pertenece a Almería). Reemplazar por un punto equivalente dentro de Níjar.</t>
        </is>
      </c>
    </row>
    <row r="70">
      <c r="A70" s="40" t="inlineStr">
        <is>
          <t>P65-D6</t>
        </is>
      </c>
      <c r="B70" s="41" t="n">
        <v>6</v>
      </c>
      <c r="C70" s="41" t="inlineStr">
        <is>
          <t>Retamar</t>
        </is>
      </c>
      <c r="D70" s="41" t="inlineStr">
        <is>
          <t>Núcleo Retamar (límite)</t>
        </is>
      </c>
      <c r="E70" s="41" t="n">
        <v>36.834</v>
      </c>
      <c r="F70" s="41" t="n">
        <v>-2.287</v>
      </c>
      <c r="G70" s="42" t="inlineStr">
        <is>
          <t>Fuera (Almería)</t>
        </is>
      </c>
      <c r="H70" s="42" t="inlineStr">
        <is>
          <t>Normal</t>
        </is>
      </c>
      <c r="I70" s="41" t="inlineStr">
        <is>
          <t>DESCARTAR / SUSTITUIR — Fuera del término municipal de Níjar (pertenece a Almería). Reemplazar por un punto equivalente dentro de Níjar.</t>
        </is>
      </c>
    </row>
    <row r="71">
      <c r="A71" s="40" t="inlineStr">
        <is>
          <t>P66-D6</t>
        </is>
      </c>
      <c r="B71" s="41" t="n">
        <v>6</v>
      </c>
      <c r="C71" s="41" t="inlineStr">
        <is>
          <t>Pujaire</t>
        </is>
      </c>
      <c r="D71" s="41" t="inlineStr">
        <is>
          <t>Núcleo Pujaire</t>
        </is>
      </c>
      <c r="E71" s="41" t="n">
        <v>36.805</v>
      </c>
      <c r="F71" s="41" t="n">
        <v>-2.247</v>
      </c>
      <c r="G71" s="42" t="inlineStr">
        <is>
          <t>Fuera (Almería)</t>
        </is>
      </c>
      <c r="H71" s="42" t="inlineStr">
        <is>
          <t>Normal</t>
        </is>
      </c>
      <c r="I71" s="41" t="inlineStr">
        <is>
          <t>DESCARTAR / SUSTITUIR — Fuera del término municipal de Níjar (pertenece a Almería). Reemplazar por un punto equivalente dentro de Níjar.</t>
        </is>
      </c>
    </row>
    <row r="72">
      <c r="A72" s="34" t="inlineStr">
        <is>
          <t>P67-D6</t>
        </is>
      </c>
      <c r="B72" s="35" t="n">
        <v>6</v>
      </c>
      <c r="C72" s="35" t="inlineStr">
        <is>
          <t>Carretera AL-3115</t>
        </is>
      </c>
      <c r="D72" s="35" t="inlineStr">
        <is>
          <t>Tramo Faro</t>
        </is>
      </c>
      <c r="E72" s="35" t="n">
        <v>36.74</v>
      </c>
      <c r="F72" s="35" t="n">
        <v>-2.2</v>
      </c>
      <c r="G72" s="36" t="inlineStr">
        <is>
          <t>Níjar</t>
        </is>
      </c>
      <c r="H72" s="36" t="inlineStr">
        <is>
          <t>Medio</t>
        </is>
      </c>
      <c r="I72" s="35" t="inlineStr">
        <is>
          <t>CONFIRMAR ACCESO — Tramo de carretera hacia el faro</t>
        </is>
      </c>
    </row>
    <row r="73">
      <c r="A73" s="40" t="inlineStr">
        <is>
          <t>P68-D6</t>
        </is>
      </c>
      <c r="B73" s="41" t="n">
        <v>6</v>
      </c>
      <c r="C73" s="41" t="inlineStr">
        <is>
          <t>Camping Cabo Gata</t>
        </is>
      </c>
      <c r="D73" s="41" t="inlineStr">
        <is>
          <t>Camping municipal</t>
        </is>
      </c>
      <c r="E73" s="41" t="n">
        <v>36.8</v>
      </c>
      <c r="F73" s="41" t="n">
        <v>-2.243</v>
      </c>
      <c r="G73" s="42" t="inlineStr">
        <is>
          <t>Fuera (Almería)</t>
        </is>
      </c>
      <c r="H73" s="42" t="inlineStr">
        <is>
          <t>Normal</t>
        </is>
      </c>
      <c r="I73" s="41" t="inlineStr">
        <is>
          <t>DESCARTAR / SUSTITUIR — Fuera del término municipal de Níjar (pertenece a Almería). Reemplazar por un punto equivalente dentro de Níjar.</t>
        </is>
      </c>
    </row>
    <row r="74">
      <c r="A74" s="31" t="inlineStr">
        <is>
          <t>P69-D7</t>
        </is>
      </c>
      <c r="B74" s="32" t="n">
        <v>7</v>
      </c>
      <c r="C74" s="32" t="inlineStr">
        <is>
          <t>Atochares</t>
        </is>
      </c>
      <c r="D74" s="32" t="inlineStr">
        <is>
          <t>Plaza Atochares</t>
        </is>
      </c>
      <c r="E74" s="32" t="n">
        <v>36.8951</v>
      </c>
      <c r="F74" s="32" t="n">
        <v>-2.1462</v>
      </c>
      <c r="G74" s="33" t="inlineStr">
        <is>
          <t>Níjar</t>
        </is>
      </c>
      <c r="H74" s="33" t="inlineStr">
        <is>
          <t>Normal</t>
        </is>
      </c>
      <c r="I74" s="32" t="inlineStr">
        <is>
          <t>OK</t>
        </is>
      </c>
    </row>
    <row r="75">
      <c r="A75" s="31" t="inlineStr">
        <is>
          <t>P70-D7</t>
        </is>
      </c>
      <c r="B75" s="32" t="n">
        <v>7</v>
      </c>
      <c r="C75" s="32" t="inlineStr">
        <is>
          <t>Campohermoso</t>
        </is>
      </c>
      <c r="D75" s="32" t="inlineStr">
        <is>
          <t>Plaza Campohermoso</t>
        </is>
      </c>
      <c r="E75" s="32" t="n">
        <v>36.928</v>
      </c>
      <c r="F75" s="32" t="n">
        <v>-2.108</v>
      </c>
      <c r="G75" s="33" t="inlineStr">
        <is>
          <t>Níjar</t>
        </is>
      </c>
      <c r="H75" s="33" t="inlineStr">
        <is>
          <t>Normal</t>
        </is>
      </c>
      <c r="I75" s="32" t="inlineStr">
        <is>
          <t>OK</t>
        </is>
      </c>
    </row>
    <row r="76">
      <c r="A76" s="31" t="inlineStr">
        <is>
          <t>P71-D7</t>
        </is>
      </c>
      <c r="B76" s="32" t="n">
        <v>7</v>
      </c>
      <c r="C76" s="32" t="inlineStr">
        <is>
          <t>San Isidro</t>
        </is>
      </c>
      <c r="D76" s="32" t="inlineStr">
        <is>
          <t>Núcleo San Isidro Níjar</t>
        </is>
      </c>
      <c r="E76" s="32" t="n">
        <v>36.943</v>
      </c>
      <c r="F76" s="32" t="n">
        <v>-2.083</v>
      </c>
      <c r="G76" s="33" t="inlineStr">
        <is>
          <t>Níjar</t>
        </is>
      </c>
      <c r="H76" s="33" t="inlineStr">
        <is>
          <t>Normal</t>
        </is>
      </c>
      <c r="I76" s="32" t="inlineStr">
        <is>
          <t>OK</t>
        </is>
      </c>
    </row>
    <row r="77">
      <c r="A77" s="31" t="inlineStr">
        <is>
          <t>P72-D7</t>
        </is>
      </c>
      <c r="B77" s="32" t="n">
        <v>7</v>
      </c>
      <c r="C77" s="32" t="inlineStr">
        <is>
          <t>Fernán Pérez</t>
        </is>
      </c>
      <c r="D77" s="32" t="inlineStr">
        <is>
          <t>Plaza Fernán Pérez</t>
        </is>
      </c>
      <c r="E77" s="32" t="n">
        <v>36.906</v>
      </c>
      <c r="F77" s="32" t="n">
        <v>-2.033</v>
      </c>
      <c r="G77" s="33" t="inlineStr">
        <is>
          <t>Níjar</t>
        </is>
      </c>
      <c r="H77" s="33" t="inlineStr">
        <is>
          <t>Normal</t>
        </is>
      </c>
      <c r="I77" s="32" t="inlineStr">
        <is>
          <t>OK</t>
        </is>
      </c>
    </row>
    <row r="78">
      <c r="A78" s="31" t="inlineStr">
        <is>
          <t>P73-D7</t>
        </is>
      </c>
      <c r="B78" s="32" t="n">
        <v>7</v>
      </c>
      <c r="C78" s="32" t="inlineStr">
        <is>
          <t>Las Hortichuelas</t>
        </is>
      </c>
      <c r="D78" s="32" t="inlineStr">
        <is>
          <t>Núcleo rural agrícola</t>
        </is>
      </c>
      <c r="E78" s="32" t="n">
        <v>36.915</v>
      </c>
      <c r="F78" s="32" t="n">
        <v>-2.12</v>
      </c>
      <c r="G78" s="33" t="inlineStr">
        <is>
          <t>Níjar</t>
        </is>
      </c>
      <c r="H78" s="33" t="inlineStr">
        <is>
          <t>Normal</t>
        </is>
      </c>
      <c r="I78" s="32" t="inlineStr">
        <is>
          <t>OK</t>
        </is>
      </c>
    </row>
    <row r="79">
      <c r="A79" s="31" t="inlineStr">
        <is>
          <t>P74-D7</t>
        </is>
      </c>
      <c r="B79" s="32" t="n">
        <v>7</v>
      </c>
      <c r="C79" s="32" t="inlineStr">
        <is>
          <t>Los Nietos</t>
        </is>
      </c>
      <c r="D79" s="32" t="inlineStr">
        <is>
          <t>Núcleo rural</t>
        </is>
      </c>
      <c r="E79" s="32" t="n">
        <v>36.935</v>
      </c>
      <c r="F79" s="32" t="n">
        <v>-2.06</v>
      </c>
      <c r="G79" s="33" t="inlineStr">
        <is>
          <t>Níjar</t>
        </is>
      </c>
      <c r="H79" s="33" t="inlineStr">
        <is>
          <t>Normal</t>
        </is>
      </c>
      <c r="I79" s="32" t="inlineStr">
        <is>
          <t>OK</t>
        </is>
      </c>
    </row>
    <row r="80">
      <c r="A80" s="40" t="inlineStr">
        <is>
          <t>P75-D7</t>
        </is>
      </c>
      <c r="B80" s="41" t="n">
        <v>7</v>
      </c>
      <c r="C80" s="41" t="inlineStr">
        <is>
          <t>Pujaire</t>
        </is>
      </c>
      <c r="D80" s="41" t="inlineStr">
        <is>
          <t>Pista a Cabo Gata</t>
        </is>
      </c>
      <c r="E80" s="41" t="n">
        <v>36.81</v>
      </c>
      <c r="F80" s="41" t="n">
        <v>-2.245</v>
      </c>
      <c r="G80" s="42" t="inlineStr">
        <is>
          <t>Fuera (Almería)</t>
        </is>
      </c>
      <c r="H80" s="42" t="inlineStr">
        <is>
          <t>Medio</t>
        </is>
      </c>
      <c r="I80" s="41" t="inlineStr">
        <is>
          <t>DESCARTAR / SUSTITUIR — Fuera del término municipal de Níjar (pertenece a Almería). Pista de tierra hacia Cabo de Gata</t>
        </is>
      </c>
    </row>
    <row r="81">
      <c r="A81" s="31" t="inlineStr">
        <is>
          <t>P76-D7</t>
        </is>
      </c>
      <c r="B81" s="32" t="n">
        <v>7</v>
      </c>
      <c r="C81" s="32" t="inlineStr">
        <is>
          <t>Polígono industrial</t>
        </is>
      </c>
      <c r="D81" s="32" t="inlineStr">
        <is>
          <t>Polígono San Isidro</t>
        </is>
      </c>
      <c r="E81" s="32" t="n">
        <v>36.948</v>
      </c>
      <c r="F81" s="32" t="n">
        <v>-2.09</v>
      </c>
      <c r="G81" s="33" t="inlineStr">
        <is>
          <t>Níjar</t>
        </is>
      </c>
      <c r="H81" s="33" t="inlineStr">
        <is>
          <t>Normal</t>
        </is>
      </c>
      <c r="I81" s="32" t="inlineStr">
        <is>
          <t>OK</t>
        </is>
      </c>
    </row>
    <row r="82">
      <c r="A82" s="31" t="inlineStr">
        <is>
          <t>P77-D7</t>
        </is>
      </c>
      <c r="B82" s="32" t="n">
        <v>7</v>
      </c>
      <c r="C82" s="32" t="inlineStr">
        <is>
          <t>Carretera A-7</t>
        </is>
      </c>
      <c r="D82" s="32" t="inlineStr">
        <is>
          <t>Salida 471 Níjar</t>
        </is>
      </c>
      <c r="E82" s="32" t="n">
        <v>36.955</v>
      </c>
      <c r="F82" s="32" t="n">
        <v>-2.16</v>
      </c>
      <c r="G82" s="33" t="inlineStr">
        <is>
          <t>Níjar</t>
        </is>
      </c>
      <c r="H82" s="33" t="inlineStr">
        <is>
          <t>Normal</t>
        </is>
      </c>
      <c r="I82" s="32" t="inlineStr">
        <is>
          <t>OK</t>
        </is>
      </c>
    </row>
    <row r="83">
      <c r="A83" s="40" t="inlineStr">
        <is>
          <t>P78-D7</t>
        </is>
      </c>
      <c r="B83" s="41" t="n">
        <v>7</v>
      </c>
      <c r="C83" s="41" t="inlineStr">
        <is>
          <t>Carretera N-340a</t>
        </is>
      </c>
      <c r="D83" s="41" t="inlineStr">
        <is>
          <t>Tramo Níjar-Almería</t>
        </is>
      </c>
      <c r="E83" s="41" t="n">
        <v>36.9</v>
      </c>
      <c r="F83" s="41" t="n">
        <v>-2.25</v>
      </c>
      <c r="G83" s="42" t="inlineStr">
        <is>
          <t>Fuera (Almería)</t>
        </is>
      </c>
      <c r="H83" s="42" t="inlineStr">
        <is>
          <t>Medio</t>
        </is>
      </c>
      <c r="I83" s="41" t="inlineStr">
        <is>
          <t>DESCARTAR / SUSTITUIR — Fuera del término municipal de Níjar (pertenece a Almería). Tramo de carretera N-340a</t>
        </is>
      </c>
    </row>
    <row r="84">
      <c r="A84" s="31" t="inlineStr">
        <is>
          <t>P79-D7</t>
        </is>
      </c>
      <c r="B84" s="32" t="n">
        <v>7</v>
      </c>
      <c r="C84" s="32" t="inlineStr">
        <is>
          <t>Núcleo de bodega</t>
        </is>
      </c>
      <c r="D84" s="32" t="inlineStr">
        <is>
          <t>Bodega visitable</t>
        </is>
      </c>
      <c r="E84" s="32" t="n">
        <v>36.93</v>
      </c>
      <c r="F84" s="32" t="n">
        <v>-2.15</v>
      </c>
      <c r="G84" s="33" t="inlineStr">
        <is>
          <t>Níjar</t>
        </is>
      </c>
      <c r="H84" s="33" t="inlineStr">
        <is>
          <t>Normal</t>
        </is>
      </c>
      <c r="I84" s="32" t="inlineStr">
        <is>
          <t>OK</t>
        </is>
      </c>
    </row>
    <row r="85">
      <c r="A85" s="31" t="inlineStr">
        <is>
          <t>P80-D7</t>
        </is>
      </c>
      <c r="B85" s="32" t="n">
        <v>7</v>
      </c>
      <c r="C85" s="32" t="inlineStr">
        <is>
          <t>Ayuntamiento Níjar</t>
        </is>
      </c>
      <c r="D85" s="32" t="inlineStr">
        <is>
          <t>Cierre · sede Concejalía</t>
        </is>
      </c>
      <c r="E85" s="32" t="n">
        <v>36.9658</v>
      </c>
      <c r="F85" s="32" t="n">
        <v>-2.2073</v>
      </c>
      <c r="G85" s="33" t="inlineStr">
        <is>
          <t>Níjar</t>
        </is>
      </c>
      <c r="H85" s="33" t="inlineStr">
        <is>
          <t>Normal</t>
        </is>
      </c>
      <c r="I85" s="32" t="inlineStr">
        <is>
          <t>OK</t>
        </is>
      </c>
    </row>
  </sheetData>
  <mergeCells count="2"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18" customWidth="1" min="3" max="3"/>
    <col width="28" customWidth="1" min="4" max="4"/>
    <col width="11" customWidth="1" min="5" max="5"/>
    <col width="11" customWidth="1" min="6" max="6"/>
    <col width="8" customWidth="1" min="7" max="7"/>
    <col width="7" customWidth="1" min="8" max="8"/>
    <col width="9" customWidth="1" min="9" max="9"/>
    <col width="11" customWidth="1" min="10" max="10"/>
    <col width="11" customWidth="1" min="11" max="11"/>
    <col width="11" customWidth="1" min="12" max="12"/>
    <col width="12" customWidth="1" min="13" max="13"/>
    <col width="11" customWidth="1" min="14" max="14"/>
    <col width="7" customWidth="1" min="15" max="15"/>
    <col width="9" customWidth="1" min="16" max="16"/>
    <col width="11" customWidth="1" min="17" max="17"/>
    <col width="11" customWidth="1" min="18" max="18"/>
    <col width="11" customWidth="1" min="19" max="19"/>
    <col width="12" customWidth="1" min="20" max="20"/>
    <col width="11" customWidth="1" min="21" max="21"/>
    <col width="7" customWidth="1" min="22" max="22"/>
    <col width="9" customWidth="1" min="23" max="23"/>
    <col width="11" customWidth="1" min="24" max="24"/>
    <col width="11" customWidth="1" min="25" max="25"/>
    <col width="11" customWidth="1" min="26" max="26"/>
    <col width="12" customWidth="1" min="27" max="27"/>
    <col width="11" customWidth="1" min="28" max="28"/>
    <col width="14" customWidth="1" min="29" max="29"/>
    <col width="16" customWidth="1" min="30" max="30"/>
    <col width="14" customWidth="1" min="31" max="31"/>
    <col width="11" customWidth="1" min="32" max="32"/>
    <col width="18" customWidth="1" min="33" max="33"/>
    <col width="22" customWidth="1" min="34" max="34"/>
  </cols>
  <sheetData>
    <row r="1" ht="24" customHeight="1">
      <c r="A1" s="9" t="inlineStr">
        <is>
          <t>MEDICIONES DE COBERTURA MÓVIL 4G/5G · 3 OPERADORES POR PUNTO</t>
        </is>
      </c>
    </row>
    <row r="2">
      <c r="A2" s="10" t="inlineStr">
        <is>
          <t>IDENTIFICACIÓN DEL PUNTO</t>
        </is>
      </c>
      <c r="H2" s="11" t="inlineStr">
        <is>
          <t>OPERADOR 1 · MOVISTAR</t>
        </is>
      </c>
      <c r="O2" s="12" t="inlineStr">
        <is>
          <t>OPERADOR 2 · ORANGE</t>
        </is>
      </c>
      <c r="V2" s="13" t="inlineStr">
        <is>
          <t>OPERADOR 3 · VODAFONE</t>
        </is>
      </c>
      <c r="AC2" s="14" t="inlineStr">
        <is>
          <t>OBSERVACIONES Y CONSOLIDADO</t>
        </is>
      </c>
    </row>
    <row r="3" ht="38" customHeight="1">
      <c r="A3" s="15" t="inlineStr">
        <is>
          <t>ID Punto</t>
        </is>
      </c>
      <c r="B3" s="15" t="inlineStr">
        <is>
          <t>Día</t>
        </is>
      </c>
      <c r="C3" s="15" t="inlineStr">
        <is>
          <t>Núcleo</t>
        </is>
      </c>
      <c r="D3" s="15" t="inlineStr">
        <is>
          <t>Descripción</t>
        </is>
      </c>
      <c r="E3" s="15" t="inlineStr">
        <is>
          <t>Lat</t>
        </is>
      </c>
      <c r="F3" s="15" t="inlineStr">
        <is>
          <t>Lon</t>
        </is>
      </c>
      <c r="G3" s="15" t="inlineStr">
        <is>
          <t>Hora</t>
        </is>
      </c>
      <c r="H3" s="15" t="inlineStr">
        <is>
          <t>Tec</t>
        </is>
      </c>
      <c r="I3" s="15" t="inlineStr">
        <is>
          <t>Banda</t>
        </is>
      </c>
      <c r="J3" s="15" t="inlineStr">
        <is>
          <t>RSRP (dBm)</t>
        </is>
      </c>
      <c r="K3" s="15" t="inlineStr">
        <is>
          <t>RSRQ (dB)</t>
        </is>
      </c>
      <c r="L3" s="15" t="inlineStr">
        <is>
          <t>SINR (dB)</t>
        </is>
      </c>
      <c r="M3" s="15" t="inlineStr">
        <is>
          <t>Down (Mbps)</t>
        </is>
      </c>
      <c r="N3" s="15" t="inlineStr">
        <is>
          <t>Up (Mbps)</t>
        </is>
      </c>
      <c r="O3" s="15" t="inlineStr">
        <is>
          <t>Tec</t>
        </is>
      </c>
      <c r="P3" s="15" t="inlineStr">
        <is>
          <t>Banda</t>
        </is>
      </c>
      <c r="Q3" s="15" t="inlineStr">
        <is>
          <t>RSRP (dBm)</t>
        </is>
      </c>
      <c r="R3" s="15" t="inlineStr">
        <is>
          <t>RSRQ (dB)</t>
        </is>
      </c>
      <c r="S3" s="15" t="inlineStr">
        <is>
          <t>SINR (dB)</t>
        </is>
      </c>
      <c r="T3" s="15" t="inlineStr">
        <is>
          <t>Down (Mbps)</t>
        </is>
      </c>
      <c r="U3" s="15" t="inlineStr">
        <is>
          <t>Up (Mbps)</t>
        </is>
      </c>
      <c r="V3" s="15" t="inlineStr">
        <is>
          <t>Tec</t>
        </is>
      </c>
      <c r="W3" s="15" t="inlineStr">
        <is>
          <t>Banda</t>
        </is>
      </c>
      <c r="X3" s="15" t="inlineStr">
        <is>
          <t>RSRP (dBm)</t>
        </is>
      </c>
      <c r="Y3" s="15" t="inlineStr">
        <is>
          <t>RSRQ (dB)</t>
        </is>
      </c>
      <c r="Z3" s="15" t="inlineStr">
        <is>
          <t>SINR (dB)</t>
        </is>
      </c>
      <c r="AA3" s="15" t="inlineStr">
        <is>
          <t>Down (Mbps)</t>
        </is>
      </c>
      <c r="AB3" s="15" t="inlineStr">
        <is>
          <t>Up (Mbps)</t>
        </is>
      </c>
      <c r="AC3" s="15" t="inlineStr">
        <is>
          <t>Mejor op.</t>
        </is>
      </c>
      <c r="AD3" s="15" t="inlineStr">
        <is>
          <t>Calidad consol.</t>
        </is>
      </c>
      <c r="AE3" s="15" t="inlineStr">
        <is>
          <t>Latencia (ms)</t>
        </is>
      </c>
      <c r="AF3" s="15" t="inlineStr">
        <is>
          <t>Foto</t>
        </is>
      </c>
      <c r="AG3" s="15" t="inlineStr">
        <is>
          <t>Incidencias</t>
        </is>
      </c>
      <c r="AH3" s="15" t="inlineStr">
        <is>
          <t>Observaciones</t>
        </is>
      </c>
    </row>
    <row r="4">
      <c r="A4" s="16" t="inlineStr">
        <is>
          <t>P01-D1</t>
        </is>
      </c>
      <c r="B4" s="17" t="n">
        <v>1</v>
      </c>
      <c r="C4" s="17" t="inlineStr">
        <is>
          <t>Níjar pueblo</t>
        </is>
      </c>
      <c r="D4" s="17" t="inlineStr">
        <is>
          <t>Plaza La Glorieta · centro</t>
        </is>
      </c>
    </row>
    <row r="5">
      <c r="A5" s="16" t="inlineStr">
        <is>
          <t>P02-D1</t>
        </is>
      </c>
      <c r="B5" s="17" t="n">
        <v>1</v>
      </c>
      <c r="C5" s="17" t="inlineStr">
        <is>
          <t>Níjar pueblo</t>
        </is>
      </c>
      <c r="D5" s="17" t="inlineStr">
        <is>
          <t>Iglesia Sta María de la Anunciación</t>
        </is>
      </c>
    </row>
    <row r="6">
      <c r="A6" s="16" t="inlineStr">
        <is>
          <t>P03-D1</t>
        </is>
      </c>
      <c r="B6" s="17" t="n">
        <v>1</v>
      </c>
      <c r="C6" s="17" t="inlineStr">
        <is>
          <t>Níjar pueblo</t>
        </is>
      </c>
      <c r="D6" s="17" t="inlineStr">
        <is>
          <t>Mirador casco histórico</t>
        </is>
      </c>
    </row>
    <row r="7">
      <c r="A7" s="16" t="inlineStr">
        <is>
          <t>P04-D1</t>
        </is>
      </c>
      <c r="B7" s="17" t="n">
        <v>1</v>
      </c>
      <c r="C7" s="17" t="inlineStr">
        <is>
          <t>Níjar pueblo</t>
        </is>
      </c>
      <c r="D7" s="17" t="inlineStr">
        <is>
          <t>Plaza Mercado · oficina turismo</t>
        </is>
      </c>
    </row>
    <row r="8">
      <c r="A8" s="16" t="inlineStr">
        <is>
          <t>P05-D1</t>
        </is>
      </c>
      <c r="B8" s="17" t="n">
        <v>1</v>
      </c>
      <c r="C8" s="17" t="inlineStr">
        <is>
          <t>Níjar pueblo</t>
        </is>
      </c>
      <c r="D8" s="17" t="inlineStr">
        <is>
          <t>Calle artesanos cerámica</t>
        </is>
      </c>
    </row>
    <row r="9">
      <c r="A9" s="16" t="inlineStr">
        <is>
          <t>P06-D1</t>
        </is>
      </c>
      <c r="B9" s="17" t="n">
        <v>1</v>
      </c>
      <c r="C9" s="17" t="inlineStr">
        <is>
          <t>Níjar pueblo</t>
        </is>
      </c>
      <c r="D9" s="17" t="inlineStr">
        <is>
          <t>Aparcamiento sur</t>
        </is>
      </c>
    </row>
    <row r="10">
      <c r="A10" s="16" t="inlineStr">
        <is>
          <t>P07-D1</t>
        </is>
      </c>
      <c r="B10" s="17" t="n">
        <v>1</v>
      </c>
      <c r="C10" s="17" t="inlineStr">
        <is>
          <t>Huebro</t>
        </is>
      </c>
      <c r="D10" s="17" t="inlineStr">
        <is>
          <t>Núcleo rural</t>
        </is>
      </c>
    </row>
    <row r="11">
      <c r="A11" s="16" t="inlineStr">
        <is>
          <t>P08-D1</t>
        </is>
      </c>
      <c r="B11" s="17" t="n">
        <v>1</v>
      </c>
      <c r="C11" s="17" t="inlineStr">
        <is>
          <t>Atochares</t>
        </is>
      </c>
      <c r="D11" s="17" t="inlineStr">
        <is>
          <t>Núcleo rural</t>
        </is>
      </c>
    </row>
    <row r="12">
      <c r="A12" s="16" t="inlineStr">
        <is>
          <t>P09-D2</t>
        </is>
      </c>
      <c r="B12" s="17" t="n">
        <v>2</v>
      </c>
      <c r="C12" s="17" t="inlineStr">
        <is>
          <t>San José</t>
        </is>
      </c>
      <c r="D12" s="17" t="inlineStr">
        <is>
          <t>Puerto deportivo</t>
        </is>
      </c>
    </row>
    <row r="13">
      <c r="A13" s="16" t="inlineStr">
        <is>
          <t>P10-D2</t>
        </is>
      </c>
      <c r="B13" s="17" t="n">
        <v>2</v>
      </c>
      <c r="C13" s="17" t="inlineStr">
        <is>
          <t>San José</t>
        </is>
      </c>
      <c r="D13" s="17" t="inlineStr">
        <is>
          <t>Plaza pueblo San José</t>
        </is>
      </c>
    </row>
    <row r="14">
      <c r="A14" s="16" t="inlineStr">
        <is>
          <t>P11-D2</t>
        </is>
      </c>
      <c r="B14" s="17" t="n">
        <v>2</v>
      </c>
      <c r="C14" s="17" t="inlineStr">
        <is>
          <t>San José</t>
        </is>
      </c>
      <c r="D14" s="17" t="inlineStr">
        <is>
          <t>Playa San José</t>
        </is>
      </c>
    </row>
    <row r="15">
      <c r="A15" s="16" t="inlineStr">
        <is>
          <t>P12-D2</t>
        </is>
      </c>
      <c r="B15" s="17" t="n">
        <v>2</v>
      </c>
      <c r="C15" s="17" t="inlineStr">
        <is>
          <t>San José</t>
        </is>
      </c>
      <c r="D15" s="17" t="inlineStr">
        <is>
          <t>Hotel Cortijo El Sotillo</t>
        </is>
      </c>
    </row>
    <row r="16">
      <c r="A16" s="16" t="inlineStr">
        <is>
          <t>P13-D2</t>
        </is>
      </c>
      <c r="B16" s="17" t="n">
        <v>2</v>
      </c>
      <c r="C16" s="17" t="inlineStr">
        <is>
          <t>Mónsul</t>
        </is>
      </c>
      <c r="D16" s="17" t="inlineStr">
        <is>
          <t>Aparcamiento Mónsul</t>
        </is>
      </c>
    </row>
    <row r="17">
      <c r="A17" s="16" t="inlineStr">
        <is>
          <t>P14-D2</t>
        </is>
      </c>
      <c r="B17" s="17" t="n">
        <v>2</v>
      </c>
      <c r="C17" s="17" t="inlineStr">
        <is>
          <t>Mónsul</t>
        </is>
      </c>
      <c r="D17" s="17" t="inlineStr">
        <is>
          <t>Playa Mónsul (orilla)</t>
        </is>
      </c>
    </row>
    <row r="18">
      <c r="A18" s="16" t="inlineStr">
        <is>
          <t>P15-D2</t>
        </is>
      </c>
      <c r="B18" s="17" t="n">
        <v>2</v>
      </c>
      <c r="C18" s="17" t="inlineStr">
        <is>
          <t>Genoveses</t>
        </is>
      </c>
      <c r="D18" s="17" t="inlineStr">
        <is>
          <t>Playa Genoveses</t>
        </is>
      </c>
    </row>
    <row r="19">
      <c r="A19" s="16" t="inlineStr">
        <is>
          <t>P16-D2</t>
        </is>
      </c>
      <c r="B19" s="17" t="n">
        <v>2</v>
      </c>
      <c r="C19" s="17" t="inlineStr">
        <is>
          <t>Genoveses</t>
        </is>
      </c>
      <c r="D19" s="17" t="inlineStr">
        <is>
          <t>Aparcamiento Genoveses</t>
        </is>
      </c>
    </row>
    <row r="20">
      <c r="A20" s="16" t="inlineStr">
        <is>
          <t>P17-D2</t>
        </is>
      </c>
      <c r="B20" s="17" t="n">
        <v>2</v>
      </c>
      <c r="C20" s="17" t="inlineStr">
        <is>
          <t>Los Escullos</t>
        </is>
      </c>
      <c r="D20" s="17" t="inlineStr">
        <is>
          <t>Núcleo + camping</t>
        </is>
      </c>
    </row>
    <row r="21">
      <c r="A21" s="16" t="inlineStr">
        <is>
          <t>P18-D2</t>
        </is>
      </c>
      <c r="B21" s="17" t="n">
        <v>2</v>
      </c>
      <c r="C21" s="17" t="inlineStr">
        <is>
          <t>Los Escullos</t>
        </is>
      </c>
      <c r="D21" s="17" t="inlineStr">
        <is>
          <t>Castillo San Felipe</t>
        </is>
      </c>
    </row>
    <row r="22">
      <c r="A22" s="16" t="inlineStr">
        <is>
          <t>P19-D2</t>
        </is>
      </c>
      <c r="B22" s="17" t="n">
        <v>2</v>
      </c>
      <c r="C22" s="17" t="inlineStr">
        <is>
          <t>Pozo Frailes</t>
        </is>
      </c>
      <c r="D22" s="17" t="inlineStr">
        <is>
          <t>Núcleo</t>
        </is>
      </c>
    </row>
    <row r="23">
      <c r="A23" s="16" t="inlineStr">
        <is>
          <t>P20-D2</t>
        </is>
      </c>
      <c r="B23" s="17" t="n">
        <v>2</v>
      </c>
      <c r="C23" s="17" t="inlineStr">
        <is>
          <t>Carretera AL-100</t>
        </is>
      </c>
      <c r="D23" s="17" t="inlineStr">
        <is>
          <t>Punto intermedio carretera</t>
        </is>
      </c>
    </row>
    <row r="24">
      <c r="A24" s="16" t="inlineStr">
        <is>
          <t>P21-D2</t>
        </is>
      </c>
      <c r="B24" s="17" t="n">
        <v>2</v>
      </c>
      <c r="C24" s="17" t="inlineStr">
        <is>
          <t>San José</t>
        </is>
      </c>
      <c r="D24" s="17" t="inlineStr">
        <is>
          <t>Restaurante La Ola</t>
        </is>
      </c>
    </row>
    <row r="25">
      <c r="A25" s="16" t="inlineStr">
        <is>
          <t>P22-D2</t>
        </is>
      </c>
      <c r="B25" s="17" t="n">
        <v>2</v>
      </c>
      <c r="C25" s="17" t="inlineStr">
        <is>
          <t>San José</t>
        </is>
      </c>
      <c r="D25" s="17" t="inlineStr">
        <is>
          <t>Apartamentos turísticos centro</t>
        </is>
      </c>
    </row>
    <row r="26">
      <c r="A26" s="16" t="inlineStr">
        <is>
          <t>P23-D3</t>
        </is>
      </c>
      <c r="B26" s="17" t="n">
        <v>3</v>
      </c>
      <c r="C26" s="17" t="inlineStr">
        <is>
          <t>Isleta del Moro</t>
        </is>
      </c>
      <c r="D26" s="17" t="inlineStr">
        <is>
          <t>Plaza pueblo</t>
        </is>
      </c>
    </row>
    <row r="27">
      <c r="A27" s="16" t="inlineStr">
        <is>
          <t>P24-D3</t>
        </is>
      </c>
      <c r="B27" s="17" t="n">
        <v>3</v>
      </c>
      <c r="C27" s="17" t="inlineStr">
        <is>
          <t>Isleta del Moro</t>
        </is>
      </c>
      <c r="D27" s="17" t="inlineStr">
        <is>
          <t>Playa pueblo</t>
        </is>
      </c>
    </row>
    <row r="28">
      <c r="A28" s="16" t="inlineStr">
        <is>
          <t>P25-D3</t>
        </is>
      </c>
      <c r="B28" s="17" t="n">
        <v>3</v>
      </c>
      <c r="C28" s="17" t="inlineStr">
        <is>
          <t>Hortichuelas</t>
        </is>
      </c>
      <c r="D28" s="17" t="inlineStr">
        <is>
          <t>Núcleo rural</t>
        </is>
      </c>
    </row>
    <row r="29">
      <c r="A29" s="16" t="inlineStr">
        <is>
          <t>P26-D3</t>
        </is>
      </c>
      <c r="B29" s="17" t="n">
        <v>3</v>
      </c>
      <c r="C29" s="17" t="inlineStr">
        <is>
          <t>Las Negras</t>
        </is>
      </c>
      <c r="D29" s="17" t="inlineStr">
        <is>
          <t>Plaza pueblo Las Negras</t>
        </is>
      </c>
    </row>
    <row r="30">
      <c r="A30" s="16" t="inlineStr">
        <is>
          <t>P27-D3</t>
        </is>
      </c>
      <c r="B30" s="17" t="n">
        <v>3</v>
      </c>
      <c r="C30" s="17" t="inlineStr">
        <is>
          <t>Las Negras</t>
        </is>
      </c>
      <c r="D30" s="17" t="inlineStr">
        <is>
          <t>Playa Las Negras</t>
        </is>
      </c>
    </row>
    <row r="31">
      <c r="A31" s="16" t="inlineStr">
        <is>
          <t>P28-D3</t>
        </is>
      </c>
      <c r="B31" s="17" t="n">
        <v>3</v>
      </c>
      <c r="C31" s="17" t="inlineStr">
        <is>
          <t>Las Negras</t>
        </is>
      </c>
      <c r="D31" s="17" t="inlineStr">
        <is>
          <t>Acceso pista San Pedro</t>
        </is>
      </c>
    </row>
    <row r="32">
      <c r="A32" s="16" t="inlineStr">
        <is>
          <t>P29-D3</t>
        </is>
      </c>
      <c r="B32" s="17" t="n">
        <v>3</v>
      </c>
      <c r="C32" s="17" t="inlineStr">
        <is>
          <t>Cala San Pedro</t>
        </is>
      </c>
      <c r="D32" s="17" t="inlineStr">
        <is>
          <t>Cala virgen (sin acceso vehículo)</t>
        </is>
      </c>
    </row>
    <row r="33">
      <c r="A33" s="16" t="inlineStr">
        <is>
          <t>P30-D3</t>
        </is>
      </c>
      <c r="B33" s="17" t="n">
        <v>3</v>
      </c>
      <c r="C33" s="17" t="inlineStr">
        <is>
          <t>Las Negras</t>
        </is>
      </c>
      <c r="D33" s="17" t="inlineStr">
        <is>
          <t>Camping Las Negras</t>
        </is>
      </c>
    </row>
    <row r="34">
      <c r="A34" s="16" t="inlineStr">
        <is>
          <t>P31-D3</t>
        </is>
      </c>
      <c r="B34" s="17" t="n">
        <v>3</v>
      </c>
      <c r="C34" s="17" t="inlineStr">
        <is>
          <t>Las Negras</t>
        </is>
      </c>
      <c r="D34" s="17" t="inlineStr">
        <is>
          <t>Restaurante puerto</t>
        </is>
      </c>
    </row>
    <row r="35">
      <c r="A35" s="16" t="inlineStr">
        <is>
          <t>P32-D3</t>
        </is>
      </c>
      <c r="B35" s="17" t="n">
        <v>3</v>
      </c>
      <c r="C35" s="17" t="inlineStr">
        <is>
          <t>Carretera AL-4200</t>
        </is>
      </c>
      <c r="D35" s="17" t="inlineStr">
        <is>
          <t>Tramo costero</t>
        </is>
      </c>
    </row>
    <row r="36">
      <c r="A36" s="16" t="inlineStr">
        <is>
          <t>P33-D4</t>
        </is>
      </c>
      <c r="B36" s="17" t="n">
        <v>4</v>
      </c>
      <c r="C36" s="17" t="inlineStr">
        <is>
          <t>Agua Amarga</t>
        </is>
      </c>
      <c r="D36" s="17" t="inlineStr">
        <is>
          <t>Plaza pueblo Agua Amarga</t>
        </is>
      </c>
    </row>
    <row r="37">
      <c r="A37" s="16" t="inlineStr">
        <is>
          <t>P34-D4</t>
        </is>
      </c>
      <c r="B37" s="17" t="n">
        <v>4</v>
      </c>
      <c r="C37" s="17" t="inlineStr">
        <is>
          <t>Agua Amarga</t>
        </is>
      </c>
      <c r="D37" s="17" t="inlineStr">
        <is>
          <t>Playa Agua Amarga</t>
        </is>
      </c>
    </row>
    <row r="38">
      <c r="A38" s="16" t="inlineStr">
        <is>
          <t>P35-D4</t>
        </is>
      </c>
      <c r="B38" s="17" t="n">
        <v>4</v>
      </c>
      <c r="C38" s="17" t="inlineStr">
        <is>
          <t>Cala Enmedio</t>
        </is>
      </c>
      <c r="D38" s="17" t="inlineStr">
        <is>
          <t>Punto acceso peatonal</t>
        </is>
      </c>
    </row>
    <row r="39">
      <c r="A39" s="16" t="inlineStr">
        <is>
          <t>P36-D4</t>
        </is>
      </c>
      <c r="B39" s="17" t="n">
        <v>4</v>
      </c>
      <c r="C39" s="17" t="inlineStr">
        <is>
          <t>Cala Enmedio</t>
        </is>
      </c>
      <c r="D39" s="17" t="inlineStr">
        <is>
          <t>Cala virgen mirador</t>
        </is>
      </c>
    </row>
    <row r="40">
      <c r="A40" s="16" t="inlineStr">
        <is>
          <t>P37-D4</t>
        </is>
      </c>
      <c r="B40" s="17" t="n">
        <v>4</v>
      </c>
      <c r="C40" s="17" t="inlineStr">
        <is>
          <t>Mesa Roldán</t>
        </is>
      </c>
      <c r="D40" s="17" t="inlineStr">
        <is>
          <t>Faro y mirador</t>
        </is>
      </c>
    </row>
    <row r="41">
      <c r="A41" s="16" t="inlineStr">
        <is>
          <t>P38-D4</t>
        </is>
      </c>
      <c r="B41" s="17" t="n">
        <v>4</v>
      </c>
      <c r="C41" s="17" t="inlineStr">
        <is>
          <t>Agua Amarga</t>
        </is>
      </c>
      <c r="D41" s="17" t="inlineStr">
        <is>
          <t>Aparcamiento norte</t>
        </is>
      </c>
    </row>
    <row r="42">
      <c r="A42" s="16" t="inlineStr">
        <is>
          <t>P39-D4</t>
        </is>
      </c>
      <c r="B42" s="17" t="n">
        <v>4</v>
      </c>
      <c r="C42" s="17" t="inlineStr">
        <is>
          <t>Agua Amarga</t>
        </is>
      </c>
      <c r="D42" s="17" t="inlineStr">
        <is>
          <t>Hotel MiKasa</t>
        </is>
      </c>
    </row>
    <row r="43">
      <c r="A43" s="16" t="inlineStr">
        <is>
          <t>P40-D4</t>
        </is>
      </c>
      <c r="B43" s="17" t="n">
        <v>4</v>
      </c>
      <c r="C43" s="17" t="inlineStr">
        <is>
          <t>Agua Amarga</t>
        </is>
      </c>
      <c r="D43" s="17" t="inlineStr">
        <is>
          <t>Restaurante La Palmera</t>
        </is>
      </c>
    </row>
    <row r="44">
      <c r="A44" s="16" t="inlineStr">
        <is>
          <t>P41-D4</t>
        </is>
      </c>
      <c r="B44" s="17" t="n">
        <v>4</v>
      </c>
      <c r="C44" s="17" t="inlineStr">
        <is>
          <t>Agua Amarga</t>
        </is>
      </c>
      <c r="D44" s="17" t="inlineStr">
        <is>
          <t>Punto medio AL-7106</t>
        </is>
      </c>
    </row>
    <row r="45">
      <c r="A45" s="16" t="inlineStr">
        <is>
          <t>P42-D4</t>
        </is>
      </c>
      <c r="B45" s="17" t="n">
        <v>4</v>
      </c>
      <c r="C45" s="17" t="inlineStr">
        <is>
          <t>Sede Parque</t>
        </is>
      </c>
      <c r="D45" s="17" t="inlineStr">
        <is>
          <t>Rodalquilar c/Fundición s/n</t>
        </is>
      </c>
    </row>
    <row r="46">
      <c r="A46" s="16" t="inlineStr">
        <is>
          <t>P43-D4</t>
        </is>
      </c>
      <c r="B46" s="17" t="n">
        <v>4</v>
      </c>
      <c r="C46" s="17" t="inlineStr">
        <is>
          <t>Rodalquilar</t>
        </is>
      </c>
      <c r="D46" s="17" t="inlineStr">
        <is>
          <t>Plaza pueblo · primera visita</t>
        </is>
      </c>
    </row>
    <row r="47">
      <c r="A47" s="18" t="inlineStr">
        <is>
          <t>P44-D5</t>
        </is>
      </c>
      <c r="B47" s="18" t="n">
        <v>5</v>
      </c>
      <c r="C47" s="18" t="inlineStr">
        <is>
          <t>Rodalquilar</t>
        </is>
      </c>
      <c r="D47" s="18" t="inlineStr">
        <is>
          <t>🔴 Tótem 1 propuesto · inicio ruta</t>
        </is>
      </c>
    </row>
    <row r="48">
      <c r="A48" s="16" t="inlineStr">
        <is>
          <t>P45-D5</t>
        </is>
      </c>
      <c r="B48" s="17" t="n">
        <v>5</v>
      </c>
      <c r="C48" s="17" t="inlineStr">
        <is>
          <t>Rodalquilar</t>
        </is>
      </c>
      <c r="D48" s="17" t="inlineStr">
        <is>
          <t>Centro Visitantes Parque Natural</t>
        </is>
      </c>
    </row>
    <row r="49">
      <c r="A49" s="16" t="inlineStr">
        <is>
          <t>P46-D5</t>
        </is>
      </c>
      <c r="B49" s="17" t="n">
        <v>5</v>
      </c>
      <c r="C49" s="17" t="inlineStr">
        <is>
          <t>Rodalquilar</t>
        </is>
      </c>
      <c r="D49" s="17" t="inlineStr">
        <is>
          <t>Pueblo · plaza minera</t>
        </is>
      </c>
    </row>
    <row r="50">
      <c r="A50" s="16" t="inlineStr">
        <is>
          <t>P47-D5</t>
        </is>
      </c>
      <c r="B50" s="17" t="n">
        <v>5</v>
      </c>
      <c r="C50" s="17" t="inlineStr">
        <is>
          <t>Rodalquilar</t>
        </is>
      </c>
      <c r="D50" s="17" t="inlineStr">
        <is>
          <t>El Playazo · aparcamiento</t>
        </is>
      </c>
    </row>
    <row r="51">
      <c r="A51" s="16" t="inlineStr">
        <is>
          <t>P48-D5</t>
        </is>
      </c>
      <c r="B51" s="17" t="n">
        <v>5</v>
      </c>
      <c r="C51" s="17" t="inlineStr">
        <is>
          <t>Rodalquilar</t>
        </is>
      </c>
      <c r="D51" s="17" t="inlineStr">
        <is>
          <t>El Playazo · castillo San Ramón</t>
        </is>
      </c>
    </row>
    <row r="52">
      <c r="A52" s="16" t="inlineStr">
        <is>
          <t>P49-D5</t>
        </is>
      </c>
      <c r="B52" s="17" t="n">
        <v>5</v>
      </c>
      <c r="C52" s="17" t="inlineStr">
        <is>
          <t>Ruta ciclista</t>
        </is>
      </c>
      <c r="D52" s="17" t="inlineStr">
        <is>
          <t>Km 2 ruta · Cortijo del Fraile</t>
        </is>
      </c>
    </row>
    <row r="53">
      <c r="A53" s="16" t="inlineStr">
        <is>
          <t>P50-D5</t>
        </is>
      </c>
      <c r="B53" s="17" t="n">
        <v>5</v>
      </c>
      <c r="C53" s="17" t="inlineStr">
        <is>
          <t>Ruta ciclista</t>
        </is>
      </c>
      <c r="D53" s="17" t="inlineStr">
        <is>
          <t>Km 4 ruta · llano</t>
        </is>
      </c>
    </row>
    <row r="54">
      <c r="A54" s="16" t="inlineStr">
        <is>
          <t>P51-D5</t>
        </is>
      </c>
      <c r="B54" s="17" t="n">
        <v>5</v>
      </c>
      <c r="C54" s="17" t="inlineStr">
        <is>
          <t>Ruta ciclista</t>
        </is>
      </c>
      <c r="D54" s="17" t="inlineStr">
        <is>
          <t>Km 6 ruta · descenso</t>
        </is>
      </c>
    </row>
    <row r="55">
      <c r="A55" s="16" t="inlineStr">
        <is>
          <t>P52-D5</t>
        </is>
      </c>
      <c r="B55" s="17" t="n">
        <v>5</v>
      </c>
      <c r="C55" s="17" t="inlineStr">
        <is>
          <t>Ruta ciclista</t>
        </is>
      </c>
      <c r="D55" s="17" t="inlineStr">
        <is>
          <t>Km 8 ruta · curva</t>
        </is>
      </c>
    </row>
    <row r="56">
      <c r="A56" s="16" t="inlineStr">
        <is>
          <t>P53-D5</t>
        </is>
      </c>
      <c r="B56" s="17" t="n">
        <v>5</v>
      </c>
      <c r="C56" s="17" t="inlineStr">
        <is>
          <t>Ruta ciclista</t>
        </is>
      </c>
      <c r="D56" s="17" t="inlineStr">
        <is>
          <t>Km 10 ruta · mirador</t>
        </is>
      </c>
    </row>
    <row r="57">
      <c r="A57" s="18" t="inlineStr">
        <is>
          <t>P54-D5</t>
        </is>
      </c>
      <c r="B57" s="18" t="n">
        <v>5</v>
      </c>
      <c r="C57" s="18" t="inlineStr">
        <is>
          <t>Los Albaricoques</t>
        </is>
      </c>
      <c r="D57" s="18" t="inlineStr">
        <is>
          <t>🔴 Tótem 2 propuesto · fin ruta</t>
        </is>
      </c>
    </row>
    <row r="58">
      <c r="A58" s="16" t="inlineStr">
        <is>
          <t>P55-D5</t>
        </is>
      </c>
      <c r="B58" s="17" t="n">
        <v>5</v>
      </c>
      <c r="C58" s="17" t="inlineStr">
        <is>
          <t>Los Albaricoques</t>
        </is>
      </c>
      <c r="D58" s="17" t="inlineStr">
        <is>
          <t>Plaza pueblo Albaricoques</t>
        </is>
      </c>
    </row>
    <row r="59">
      <c r="A59" s="16" t="inlineStr">
        <is>
          <t>P56-D5</t>
        </is>
      </c>
      <c r="B59" s="17" t="n">
        <v>5</v>
      </c>
      <c r="C59" s="17" t="inlineStr">
        <is>
          <t>Los Albaricoques</t>
        </is>
      </c>
      <c r="D59" s="17" t="inlineStr">
        <is>
          <t>Hotel Alba</t>
        </is>
      </c>
    </row>
    <row r="60">
      <c r="A60" s="16" t="inlineStr">
        <is>
          <t>P57-D6</t>
        </is>
      </c>
      <c r="B60" s="17" t="n">
        <v>6</v>
      </c>
      <c r="C60" s="17" t="inlineStr">
        <is>
          <t>Cabo de Gata pueblo</t>
        </is>
      </c>
      <c r="D60" s="17" t="inlineStr">
        <is>
          <t>Plaza pueblo</t>
        </is>
      </c>
    </row>
    <row r="61">
      <c r="A61" s="16" t="inlineStr">
        <is>
          <t>P58-D6</t>
        </is>
      </c>
      <c r="B61" s="17" t="n">
        <v>6</v>
      </c>
      <c r="C61" s="17" t="inlineStr">
        <is>
          <t>Cabo de Gata pueblo</t>
        </is>
      </c>
      <c r="D61" s="17" t="inlineStr">
        <is>
          <t>Almadraba Monteleva</t>
        </is>
      </c>
    </row>
    <row r="62">
      <c r="A62" s="16" t="inlineStr">
        <is>
          <t>P59-D6</t>
        </is>
      </c>
      <c r="B62" s="17" t="n">
        <v>6</v>
      </c>
      <c r="C62" s="17" t="inlineStr">
        <is>
          <t>Cabo de Gata pueblo</t>
        </is>
      </c>
      <c r="D62" s="17" t="inlineStr">
        <is>
          <t>Iglesia Almadraba</t>
        </is>
      </c>
    </row>
    <row r="63">
      <c r="A63" s="16" t="inlineStr">
        <is>
          <t>P60-D6</t>
        </is>
      </c>
      <c r="B63" s="17" t="n">
        <v>6</v>
      </c>
      <c r="C63" s="17" t="inlineStr">
        <is>
          <t>Salinas</t>
        </is>
      </c>
      <c r="D63" s="17" t="inlineStr">
        <is>
          <t>Centro Visitantes Salinas</t>
        </is>
      </c>
    </row>
    <row r="64">
      <c r="A64" s="16" t="inlineStr">
        <is>
          <t>P61-D6</t>
        </is>
      </c>
      <c r="B64" s="17" t="n">
        <v>6</v>
      </c>
      <c r="C64" s="17" t="inlineStr">
        <is>
          <t>Salinas</t>
        </is>
      </c>
      <c r="D64" s="17" t="inlineStr">
        <is>
          <t>Mirador flamencos</t>
        </is>
      </c>
    </row>
    <row r="65">
      <c r="A65" s="16" t="inlineStr">
        <is>
          <t>P62-D6</t>
        </is>
      </c>
      <c r="B65" s="17" t="n">
        <v>6</v>
      </c>
      <c r="C65" s="17" t="inlineStr">
        <is>
          <t>Faro Cabo Gata</t>
        </is>
      </c>
      <c r="D65" s="17" t="inlineStr">
        <is>
          <t>Faro extremo sur</t>
        </is>
      </c>
    </row>
    <row r="66">
      <c r="A66" s="16" t="inlineStr">
        <is>
          <t>P63-D6</t>
        </is>
      </c>
      <c r="B66" s="17" t="n">
        <v>6</v>
      </c>
      <c r="C66" s="17" t="inlineStr">
        <is>
          <t>Faro Cabo Gata</t>
        </is>
      </c>
      <c r="D66" s="17" t="inlineStr">
        <is>
          <t>Mirador Vela Blanca</t>
        </is>
      </c>
    </row>
    <row r="67">
      <c r="A67" s="16" t="inlineStr">
        <is>
          <t>P64-D6</t>
        </is>
      </c>
      <c r="B67" s="17" t="n">
        <v>6</v>
      </c>
      <c r="C67" s="17" t="inlineStr">
        <is>
          <t>Playa Cabo Gata</t>
        </is>
      </c>
      <c r="D67" s="17" t="inlineStr">
        <is>
          <t>Playa pueblo Cabo Gata</t>
        </is>
      </c>
    </row>
    <row r="68">
      <c r="A68" s="16" t="inlineStr">
        <is>
          <t>P65-D6</t>
        </is>
      </c>
      <c r="B68" s="17" t="n">
        <v>6</v>
      </c>
      <c r="C68" s="17" t="inlineStr">
        <is>
          <t>Retamar</t>
        </is>
      </c>
      <c r="D68" s="17" t="inlineStr">
        <is>
          <t>Núcleo Retamar (límite)</t>
        </is>
      </c>
    </row>
    <row r="69">
      <c r="A69" s="16" t="inlineStr">
        <is>
          <t>P66-D6</t>
        </is>
      </c>
      <c r="B69" s="17" t="n">
        <v>6</v>
      </c>
      <c r="C69" s="17" t="inlineStr">
        <is>
          <t>Pujaire</t>
        </is>
      </c>
      <c r="D69" s="17" t="inlineStr">
        <is>
          <t>Núcleo Pujaire</t>
        </is>
      </c>
    </row>
    <row r="70">
      <c r="A70" s="16" t="inlineStr">
        <is>
          <t>P67-D6</t>
        </is>
      </c>
      <c r="B70" s="17" t="n">
        <v>6</v>
      </c>
      <c r="C70" s="17" t="inlineStr">
        <is>
          <t>Carretera AL-3115</t>
        </is>
      </c>
      <c r="D70" s="17" t="inlineStr">
        <is>
          <t>Tramo Faro</t>
        </is>
      </c>
    </row>
    <row r="71">
      <c r="A71" s="16" t="inlineStr">
        <is>
          <t>P68-D6</t>
        </is>
      </c>
      <c r="B71" s="17" t="n">
        <v>6</v>
      </c>
      <c r="C71" s="17" t="inlineStr">
        <is>
          <t>Camping Cabo Gata</t>
        </is>
      </c>
      <c r="D71" s="17" t="inlineStr">
        <is>
          <t>Camping municipal</t>
        </is>
      </c>
    </row>
    <row r="72">
      <c r="A72" s="16" t="inlineStr">
        <is>
          <t>P69-D7</t>
        </is>
      </c>
      <c r="B72" s="17" t="n">
        <v>7</v>
      </c>
      <c r="C72" s="17" t="inlineStr">
        <is>
          <t>Atochares</t>
        </is>
      </c>
      <c r="D72" s="17" t="inlineStr">
        <is>
          <t>Plaza Atochares</t>
        </is>
      </c>
    </row>
    <row r="73">
      <c r="A73" s="16" t="inlineStr">
        <is>
          <t>P70-D7</t>
        </is>
      </c>
      <c r="B73" s="17" t="n">
        <v>7</v>
      </c>
      <c r="C73" s="17" t="inlineStr">
        <is>
          <t>Campohermoso</t>
        </is>
      </c>
      <c r="D73" s="17" t="inlineStr">
        <is>
          <t>Plaza Campohermoso</t>
        </is>
      </c>
    </row>
    <row r="74">
      <c r="A74" s="16" t="inlineStr">
        <is>
          <t>P71-D7</t>
        </is>
      </c>
      <c r="B74" s="17" t="n">
        <v>7</v>
      </c>
      <c r="C74" s="17" t="inlineStr">
        <is>
          <t>San Isidro</t>
        </is>
      </c>
      <c r="D74" s="17" t="inlineStr">
        <is>
          <t>Núcleo San Isidro Níjar</t>
        </is>
      </c>
    </row>
    <row r="75">
      <c r="A75" s="16" t="inlineStr">
        <is>
          <t>P72-D7</t>
        </is>
      </c>
      <c r="B75" s="17" t="n">
        <v>7</v>
      </c>
      <c r="C75" s="17" t="inlineStr">
        <is>
          <t>Fernán Pérez</t>
        </is>
      </c>
      <c r="D75" s="17" t="inlineStr">
        <is>
          <t>Plaza Fernán Pérez</t>
        </is>
      </c>
    </row>
    <row r="76">
      <c r="A76" s="16" t="inlineStr">
        <is>
          <t>P73-D7</t>
        </is>
      </c>
      <c r="B76" s="17" t="n">
        <v>7</v>
      </c>
      <c r="C76" s="17" t="inlineStr">
        <is>
          <t>Las Hortichuelas</t>
        </is>
      </c>
      <c r="D76" s="17" t="inlineStr">
        <is>
          <t>Núcleo rural agrícola</t>
        </is>
      </c>
    </row>
    <row r="77">
      <c r="A77" s="16" t="inlineStr">
        <is>
          <t>P74-D7</t>
        </is>
      </c>
      <c r="B77" s="17" t="n">
        <v>7</v>
      </c>
      <c r="C77" s="17" t="inlineStr">
        <is>
          <t>Los Nietos</t>
        </is>
      </c>
      <c r="D77" s="17" t="inlineStr">
        <is>
          <t>Núcleo rural</t>
        </is>
      </c>
    </row>
    <row r="78">
      <c r="A78" s="16" t="inlineStr">
        <is>
          <t>P75-D7</t>
        </is>
      </c>
      <c r="B78" s="17" t="n">
        <v>7</v>
      </c>
      <c r="C78" s="17" t="inlineStr">
        <is>
          <t>Pujaire</t>
        </is>
      </c>
      <c r="D78" s="17" t="inlineStr">
        <is>
          <t>Pista a Cabo Gata</t>
        </is>
      </c>
    </row>
    <row r="79">
      <c r="A79" s="16" t="inlineStr">
        <is>
          <t>P76-D7</t>
        </is>
      </c>
      <c r="B79" s="17" t="n">
        <v>7</v>
      </c>
      <c r="C79" s="17" t="inlineStr">
        <is>
          <t>Polígono industrial</t>
        </is>
      </c>
      <c r="D79" s="17" t="inlineStr">
        <is>
          <t>Polígono San Isidro</t>
        </is>
      </c>
    </row>
    <row r="80">
      <c r="A80" s="16" t="inlineStr">
        <is>
          <t>P77-D7</t>
        </is>
      </c>
      <c r="B80" s="17" t="n">
        <v>7</v>
      </c>
      <c r="C80" s="17" t="inlineStr">
        <is>
          <t>Carretera A-7</t>
        </is>
      </c>
      <c r="D80" s="17" t="inlineStr">
        <is>
          <t>Salida 471 Níjar</t>
        </is>
      </c>
    </row>
    <row r="81">
      <c r="A81" s="16" t="inlineStr">
        <is>
          <t>P78-D7</t>
        </is>
      </c>
      <c r="B81" s="17" t="n">
        <v>7</v>
      </c>
      <c r="C81" s="17" t="inlineStr">
        <is>
          <t>Carretera N-340a</t>
        </is>
      </c>
      <c r="D81" s="17" t="inlineStr">
        <is>
          <t>Tramo Níjar-Almería</t>
        </is>
      </c>
    </row>
    <row r="82">
      <c r="A82" s="16" t="inlineStr">
        <is>
          <t>P79-D7</t>
        </is>
      </c>
      <c r="B82" s="17" t="n">
        <v>7</v>
      </c>
      <c r="C82" s="17" t="inlineStr">
        <is>
          <t>Núcleo de bodega</t>
        </is>
      </c>
      <c r="D82" s="17" t="inlineStr">
        <is>
          <t>Bodega visitable</t>
        </is>
      </c>
    </row>
    <row r="83">
      <c r="A83" s="16" t="inlineStr">
        <is>
          <t>P80-D7</t>
        </is>
      </c>
      <c r="B83" s="17" t="n">
        <v>7</v>
      </c>
      <c r="C83" s="17" t="inlineStr">
        <is>
          <t>Ayuntamiento Níjar</t>
        </is>
      </c>
      <c r="D83" s="17" t="inlineStr">
        <is>
          <t>Cierre · sede Concejalía</t>
        </is>
      </c>
    </row>
  </sheetData>
  <mergeCells count="6">
    <mergeCell ref="AC2:AH2"/>
    <mergeCell ref="H2:N2"/>
    <mergeCell ref="O2:U2"/>
    <mergeCell ref="A2:G2"/>
    <mergeCell ref="A1:AH1"/>
    <mergeCell ref="V2:AB2"/>
  </mergeCells>
  <dataValidations count="1">
    <dataValidation sqref="H4:H83 O4:O83 V4:V83" showDropDown="0" showInputMessage="0" showErrorMessage="0" allowBlank="1" type="list">
      <formula1>"5G,4G,3G,2G,Sin servicio"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18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8" customWidth="1" min="9" max="9"/>
    <col width="11" customWidth="1" min="10" max="10"/>
    <col width="20" customWidth="1" min="11" max="11"/>
    <col width="13" customWidth="1" min="12" max="12"/>
    <col width="14" customWidth="1" min="13" max="13"/>
    <col width="13" customWidth="1" min="14" max="14"/>
    <col width="26" customWidth="1" min="15" max="15"/>
  </cols>
  <sheetData>
    <row r="1" ht="24" customHeight="1">
      <c r="A1" s="9" t="inlineStr">
        <is>
          <t>VERIFICACIÓN DE FIBRA ÓPTICA Y WIFI PÚBLICO MUNICIPAL</t>
        </is>
      </c>
    </row>
    <row r="2">
      <c r="A2" s="10" t="inlineStr">
        <is>
          <t>IDENTIFICACIÓN</t>
        </is>
      </c>
      <c r="E2" s="11" t="inlineStr">
        <is>
          <t>FIBRA ÓPTICA</t>
        </is>
      </c>
      <c r="J2" s="12" t="inlineStr">
        <is>
          <t>WIFI PÚBLICO MUNICIPAL</t>
        </is>
      </c>
      <c r="O2" s="14" t="inlineStr">
        <is>
          <t>OBSERVACIONES</t>
        </is>
      </c>
    </row>
    <row r="3" ht="38" customHeight="1">
      <c r="A3" s="15" t="inlineStr">
        <is>
          <t>ID Punto</t>
        </is>
      </c>
      <c r="B3" s="15" t="inlineStr">
        <is>
          <t>Día</t>
        </is>
      </c>
      <c r="C3" s="15" t="inlineStr">
        <is>
          <t>Núcleo</t>
        </is>
      </c>
      <c r="D3" s="15" t="inlineStr">
        <is>
          <t>Descripción</t>
        </is>
      </c>
      <c r="E3" s="15" t="inlineStr">
        <is>
          <t>Movistar</t>
        </is>
      </c>
      <c r="F3" s="15" t="inlineStr">
        <is>
          <t>Orange</t>
        </is>
      </c>
      <c r="G3" s="15" t="inlineStr">
        <is>
          <t>Vodafone</t>
        </is>
      </c>
      <c r="H3" s="15" t="inlineStr">
        <is>
          <t>Otro op.</t>
        </is>
      </c>
      <c r="I3" s="15" t="inlineStr">
        <is>
          <t>Verificación visual</t>
        </is>
      </c>
      <c r="J3" s="15" t="inlineStr">
        <is>
          <t>AP existe</t>
        </is>
      </c>
      <c r="K3" s="15" t="inlineStr">
        <is>
          <t>SSID</t>
        </is>
      </c>
      <c r="L3" s="15" t="inlineStr">
        <is>
          <t>Speed (Mbps)</t>
        </is>
      </c>
      <c r="M3" s="15" t="inlineStr">
        <is>
          <t>Tipo portal</t>
        </is>
      </c>
      <c r="N3" s="15" t="inlineStr">
        <is>
          <t>Alcance (m)</t>
        </is>
      </c>
      <c r="O3" s="15" t="inlineStr">
        <is>
          <t>Observaciones</t>
        </is>
      </c>
    </row>
    <row r="4">
      <c r="A4" s="16" t="inlineStr">
        <is>
          <t>P01-D1</t>
        </is>
      </c>
      <c r="B4" s="17" t="n">
        <v>1</v>
      </c>
      <c r="C4" s="17" t="inlineStr">
        <is>
          <t>Níjar pueblo</t>
        </is>
      </c>
      <c r="D4" s="17" t="inlineStr">
        <is>
          <t>Plaza La Glorieta · centro</t>
        </is>
      </c>
    </row>
    <row r="5">
      <c r="A5" s="16" t="inlineStr">
        <is>
          <t>P02-D1</t>
        </is>
      </c>
      <c r="B5" s="17" t="n">
        <v>1</v>
      </c>
      <c r="C5" s="17" t="inlineStr">
        <is>
          <t>Níjar pueblo</t>
        </is>
      </c>
      <c r="D5" s="17" t="inlineStr">
        <is>
          <t>Iglesia Sta María de la Anunciación</t>
        </is>
      </c>
    </row>
    <row r="6">
      <c r="A6" s="16" t="inlineStr">
        <is>
          <t>P03-D1</t>
        </is>
      </c>
      <c r="B6" s="17" t="n">
        <v>1</v>
      </c>
      <c r="C6" s="17" t="inlineStr">
        <is>
          <t>Níjar pueblo</t>
        </is>
      </c>
      <c r="D6" s="17" t="inlineStr">
        <is>
          <t>Mirador casco histórico</t>
        </is>
      </c>
    </row>
    <row r="7">
      <c r="A7" s="16" t="inlineStr">
        <is>
          <t>P04-D1</t>
        </is>
      </c>
      <c r="B7" s="17" t="n">
        <v>1</v>
      </c>
      <c r="C7" s="17" t="inlineStr">
        <is>
          <t>Níjar pueblo</t>
        </is>
      </c>
      <c r="D7" s="17" t="inlineStr">
        <is>
          <t>Plaza Mercado · oficina turismo</t>
        </is>
      </c>
    </row>
    <row r="8">
      <c r="A8" s="16" t="inlineStr">
        <is>
          <t>P05-D1</t>
        </is>
      </c>
      <c r="B8" s="17" t="n">
        <v>1</v>
      </c>
      <c r="C8" s="17" t="inlineStr">
        <is>
          <t>Níjar pueblo</t>
        </is>
      </c>
      <c r="D8" s="17" t="inlineStr">
        <is>
          <t>Calle artesanos cerámica</t>
        </is>
      </c>
    </row>
    <row r="9">
      <c r="A9" s="16" t="inlineStr">
        <is>
          <t>P06-D1</t>
        </is>
      </c>
      <c r="B9" s="17" t="n">
        <v>1</v>
      </c>
      <c r="C9" s="17" t="inlineStr">
        <is>
          <t>Níjar pueblo</t>
        </is>
      </c>
      <c r="D9" s="17" t="inlineStr">
        <is>
          <t>Aparcamiento sur</t>
        </is>
      </c>
    </row>
    <row r="10">
      <c r="A10" s="16" t="inlineStr">
        <is>
          <t>P07-D1</t>
        </is>
      </c>
      <c r="B10" s="17" t="n">
        <v>1</v>
      </c>
      <c r="C10" s="17" t="inlineStr">
        <is>
          <t>Huebro</t>
        </is>
      </c>
      <c r="D10" s="17" t="inlineStr">
        <is>
          <t>Núcleo rural</t>
        </is>
      </c>
    </row>
    <row r="11">
      <c r="A11" s="16" t="inlineStr">
        <is>
          <t>P08-D1</t>
        </is>
      </c>
      <c r="B11" s="17" t="n">
        <v>1</v>
      </c>
      <c r="C11" s="17" t="inlineStr">
        <is>
          <t>Atochares</t>
        </is>
      </c>
      <c r="D11" s="17" t="inlineStr">
        <is>
          <t>Núcleo rural</t>
        </is>
      </c>
    </row>
    <row r="12">
      <c r="A12" s="16" t="inlineStr">
        <is>
          <t>P09-D2</t>
        </is>
      </c>
      <c r="B12" s="17" t="n">
        <v>2</v>
      </c>
      <c r="C12" s="17" t="inlineStr">
        <is>
          <t>San José</t>
        </is>
      </c>
      <c r="D12" s="17" t="inlineStr">
        <is>
          <t>Puerto deportivo</t>
        </is>
      </c>
    </row>
    <row r="13">
      <c r="A13" s="16" t="inlineStr">
        <is>
          <t>P10-D2</t>
        </is>
      </c>
      <c r="B13" s="17" t="n">
        <v>2</v>
      </c>
      <c r="C13" s="17" t="inlineStr">
        <is>
          <t>San José</t>
        </is>
      </c>
      <c r="D13" s="17" t="inlineStr">
        <is>
          <t>Plaza pueblo San José</t>
        </is>
      </c>
    </row>
    <row r="14">
      <c r="A14" s="16" t="inlineStr">
        <is>
          <t>P11-D2</t>
        </is>
      </c>
      <c r="B14" s="17" t="n">
        <v>2</v>
      </c>
      <c r="C14" s="17" t="inlineStr">
        <is>
          <t>San José</t>
        </is>
      </c>
      <c r="D14" s="17" t="inlineStr">
        <is>
          <t>Playa San José</t>
        </is>
      </c>
    </row>
    <row r="15">
      <c r="A15" s="16" t="inlineStr">
        <is>
          <t>P12-D2</t>
        </is>
      </c>
      <c r="B15" s="17" t="n">
        <v>2</v>
      </c>
      <c r="C15" s="17" t="inlineStr">
        <is>
          <t>San José</t>
        </is>
      </c>
      <c r="D15" s="17" t="inlineStr">
        <is>
          <t>Hotel Cortijo El Sotillo</t>
        </is>
      </c>
    </row>
    <row r="16">
      <c r="A16" s="16" t="inlineStr">
        <is>
          <t>P13-D2</t>
        </is>
      </c>
      <c r="B16" s="17" t="n">
        <v>2</v>
      </c>
      <c r="C16" s="17" t="inlineStr">
        <is>
          <t>Mónsul</t>
        </is>
      </c>
      <c r="D16" s="17" t="inlineStr">
        <is>
          <t>Aparcamiento Mónsul</t>
        </is>
      </c>
    </row>
    <row r="17">
      <c r="A17" s="16" t="inlineStr">
        <is>
          <t>P14-D2</t>
        </is>
      </c>
      <c r="B17" s="17" t="n">
        <v>2</v>
      </c>
      <c r="C17" s="17" t="inlineStr">
        <is>
          <t>Mónsul</t>
        </is>
      </c>
      <c r="D17" s="17" t="inlineStr">
        <is>
          <t>Playa Mónsul (orilla)</t>
        </is>
      </c>
    </row>
    <row r="18">
      <c r="A18" s="16" t="inlineStr">
        <is>
          <t>P15-D2</t>
        </is>
      </c>
      <c r="B18" s="17" t="n">
        <v>2</v>
      </c>
      <c r="C18" s="17" t="inlineStr">
        <is>
          <t>Genoveses</t>
        </is>
      </c>
      <c r="D18" s="17" t="inlineStr">
        <is>
          <t>Playa Genoveses</t>
        </is>
      </c>
    </row>
    <row r="19">
      <c r="A19" s="16" t="inlineStr">
        <is>
          <t>P16-D2</t>
        </is>
      </c>
      <c r="B19" s="17" t="n">
        <v>2</v>
      </c>
      <c r="C19" s="17" t="inlineStr">
        <is>
          <t>Genoveses</t>
        </is>
      </c>
      <c r="D19" s="17" t="inlineStr">
        <is>
          <t>Aparcamiento Genoveses</t>
        </is>
      </c>
    </row>
    <row r="20">
      <c r="A20" s="16" t="inlineStr">
        <is>
          <t>P17-D2</t>
        </is>
      </c>
      <c r="B20" s="17" t="n">
        <v>2</v>
      </c>
      <c r="C20" s="17" t="inlineStr">
        <is>
          <t>Los Escullos</t>
        </is>
      </c>
      <c r="D20" s="17" t="inlineStr">
        <is>
          <t>Núcleo + camping</t>
        </is>
      </c>
    </row>
    <row r="21">
      <c r="A21" s="16" t="inlineStr">
        <is>
          <t>P18-D2</t>
        </is>
      </c>
      <c r="B21" s="17" t="n">
        <v>2</v>
      </c>
      <c r="C21" s="17" t="inlineStr">
        <is>
          <t>Los Escullos</t>
        </is>
      </c>
      <c r="D21" s="17" t="inlineStr">
        <is>
          <t>Castillo San Felipe</t>
        </is>
      </c>
    </row>
    <row r="22">
      <c r="A22" s="16" t="inlineStr">
        <is>
          <t>P19-D2</t>
        </is>
      </c>
      <c r="B22" s="17" t="n">
        <v>2</v>
      </c>
      <c r="C22" s="17" t="inlineStr">
        <is>
          <t>Pozo Frailes</t>
        </is>
      </c>
      <c r="D22" s="17" t="inlineStr">
        <is>
          <t>Núcleo</t>
        </is>
      </c>
    </row>
    <row r="23">
      <c r="A23" s="16" t="inlineStr">
        <is>
          <t>P20-D2</t>
        </is>
      </c>
      <c r="B23" s="17" t="n">
        <v>2</v>
      </c>
      <c r="C23" s="17" t="inlineStr">
        <is>
          <t>Carretera AL-100</t>
        </is>
      </c>
      <c r="D23" s="17" t="inlineStr">
        <is>
          <t>Punto intermedio carretera</t>
        </is>
      </c>
    </row>
    <row r="24">
      <c r="A24" s="16" t="inlineStr">
        <is>
          <t>P21-D2</t>
        </is>
      </c>
      <c r="B24" s="17" t="n">
        <v>2</v>
      </c>
      <c r="C24" s="17" t="inlineStr">
        <is>
          <t>San José</t>
        </is>
      </c>
      <c r="D24" s="17" t="inlineStr">
        <is>
          <t>Restaurante La Ola</t>
        </is>
      </c>
    </row>
    <row r="25">
      <c r="A25" s="16" t="inlineStr">
        <is>
          <t>P22-D2</t>
        </is>
      </c>
      <c r="B25" s="17" t="n">
        <v>2</v>
      </c>
      <c r="C25" s="17" t="inlineStr">
        <is>
          <t>San José</t>
        </is>
      </c>
      <c r="D25" s="17" t="inlineStr">
        <is>
          <t>Apartamentos turísticos centro</t>
        </is>
      </c>
    </row>
    <row r="26">
      <c r="A26" s="16" t="inlineStr">
        <is>
          <t>P23-D3</t>
        </is>
      </c>
      <c r="B26" s="17" t="n">
        <v>3</v>
      </c>
      <c r="C26" s="17" t="inlineStr">
        <is>
          <t>Isleta del Moro</t>
        </is>
      </c>
      <c r="D26" s="17" t="inlineStr">
        <is>
          <t>Plaza pueblo</t>
        </is>
      </c>
    </row>
    <row r="27">
      <c r="A27" s="16" t="inlineStr">
        <is>
          <t>P24-D3</t>
        </is>
      </c>
      <c r="B27" s="17" t="n">
        <v>3</v>
      </c>
      <c r="C27" s="17" t="inlineStr">
        <is>
          <t>Isleta del Moro</t>
        </is>
      </c>
      <c r="D27" s="17" t="inlineStr">
        <is>
          <t>Playa pueblo</t>
        </is>
      </c>
    </row>
    <row r="28">
      <c r="A28" s="16" t="inlineStr">
        <is>
          <t>P25-D3</t>
        </is>
      </c>
      <c r="B28" s="17" t="n">
        <v>3</v>
      </c>
      <c r="C28" s="17" t="inlineStr">
        <is>
          <t>Hortichuelas</t>
        </is>
      </c>
      <c r="D28" s="17" t="inlineStr">
        <is>
          <t>Núcleo rural</t>
        </is>
      </c>
    </row>
    <row r="29">
      <c r="A29" s="16" t="inlineStr">
        <is>
          <t>P26-D3</t>
        </is>
      </c>
      <c r="B29" s="17" t="n">
        <v>3</v>
      </c>
      <c r="C29" s="17" t="inlineStr">
        <is>
          <t>Las Negras</t>
        </is>
      </c>
      <c r="D29" s="17" t="inlineStr">
        <is>
          <t>Plaza pueblo Las Negras</t>
        </is>
      </c>
    </row>
    <row r="30">
      <c r="A30" s="16" t="inlineStr">
        <is>
          <t>P27-D3</t>
        </is>
      </c>
      <c r="B30" s="17" t="n">
        <v>3</v>
      </c>
      <c r="C30" s="17" t="inlineStr">
        <is>
          <t>Las Negras</t>
        </is>
      </c>
      <c r="D30" s="17" t="inlineStr">
        <is>
          <t>Playa Las Negras</t>
        </is>
      </c>
    </row>
    <row r="31">
      <c r="A31" s="16" t="inlineStr">
        <is>
          <t>P28-D3</t>
        </is>
      </c>
      <c r="B31" s="17" t="n">
        <v>3</v>
      </c>
      <c r="C31" s="17" t="inlineStr">
        <is>
          <t>Las Negras</t>
        </is>
      </c>
      <c r="D31" s="17" t="inlineStr">
        <is>
          <t>Acceso pista San Pedro</t>
        </is>
      </c>
    </row>
    <row r="32">
      <c r="A32" s="16" t="inlineStr">
        <is>
          <t>P29-D3</t>
        </is>
      </c>
      <c r="B32" s="17" t="n">
        <v>3</v>
      </c>
      <c r="C32" s="17" t="inlineStr">
        <is>
          <t>Cala San Pedro</t>
        </is>
      </c>
      <c r="D32" s="17" t="inlineStr">
        <is>
          <t>Cala virgen (sin acceso vehículo)</t>
        </is>
      </c>
    </row>
    <row r="33">
      <c r="A33" s="16" t="inlineStr">
        <is>
          <t>P30-D3</t>
        </is>
      </c>
      <c r="B33" s="17" t="n">
        <v>3</v>
      </c>
      <c r="C33" s="17" t="inlineStr">
        <is>
          <t>Las Negras</t>
        </is>
      </c>
      <c r="D33" s="17" t="inlineStr">
        <is>
          <t>Camping Las Negras</t>
        </is>
      </c>
    </row>
    <row r="34">
      <c r="A34" s="16" t="inlineStr">
        <is>
          <t>P31-D3</t>
        </is>
      </c>
      <c r="B34" s="17" t="n">
        <v>3</v>
      </c>
      <c r="C34" s="17" t="inlineStr">
        <is>
          <t>Las Negras</t>
        </is>
      </c>
      <c r="D34" s="17" t="inlineStr">
        <is>
          <t>Restaurante puerto</t>
        </is>
      </c>
    </row>
    <row r="35">
      <c r="A35" s="16" t="inlineStr">
        <is>
          <t>P32-D3</t>
        </is>
      </c>
      <c r="B35" s="17" t="n">
        <v>3</v>
      </c>
      <c r="C35" s="17" t="inlineStr">
        <is>
          <t>Carretera AL-4200</t>
        </is>
      </c>
      <c r="D35" s="17" t="inlineStr">
        <is>
          <t>Tramo costero</t>
        </is>
      </c>
    </row>
    <row r="36">
      <c r="A36" s="16" t="inlineStr">
        <is>
          <t>P33-D4</t>
        </is>
      </c>
      <c r="B36" s="17" t="n">
        <v>4</v>
      </c>
      <c r="C36" s="17" t="inlineStr">
        <is>
          <t>Agua Amarga</t>
        </is>
      </c>
      <c r="D36" s="17" t="inlineStr">
        <is>
          <t>Plaza pueblo Agua Amarga</t>
        </is>
      </c>
    </row>
    <row r="37">
      <c r="A37" s="16" t="inlineStr">
        <is>
          <t>P34-D4</t>
        </is>
      </c>
      <c r="B37" s="17" t="n">
        <v>4</v>
      </c>
      <c r="C37" s="17" t="inlineStr">
        <is>
          <t>Agua Amarga</t>
        </is>
      </c>
      <c r="D37" s="17" t="inlineStr">
        <is>
          <t>Playa Agua Amarga</t>
        </is>
      </c>
    </row>
    <row r="38">
      <c r="A38" s="16" t="inlineStr">
        <is>
          <t>P35-D4</t>
        </is>
      </c>
      <c r="B38" s="17" t="n">
        <v>4</v>
      </c>
      <c r="C38" s="17" t="inlineStr">
        <is>
          <t>Cala Enmedio</t>
        </is>
      </c>
      <c r="D38" s="17" t="inlineStr">
        <is>
          <t>Punto acceso peatonal</t>
        </is>
      </c>
    </row>
    <row r="39">
      <c r="A39" s="16" t="inlineStr">
        <is>
          <t>P36-D4</t>
        </is>
      </c>
      <c r="B39" s="17" t="n">
        <v>4</v>
      </c>
      <c r="C39" s="17" t="inlineStr">
        <is>
          <t>Cala Enmedio</t>
        </is>
      </c>
      <c r="D39" s="17" t="inlineStr">
        <is>
          <t>Cala virgen mirador</t>
        </is>
      </c>
    </row>
    <row r="40">
      <c r="A40" s="16" t="inlineStr">
        <is>
          <t>P37-D4</t>
        </is>
      </c>
      <c r="B40" s="17" t="n">
        <v>4</v>
      </c>
      <c r="C40" s="17" t="inlineStr">
        <is>
          <t>Mesa Roldán</t>
        </is>
      </c>
      <c r="D40" s="17" t="inlineStr">
        <is>
          <t>Faro y mirador</t>
        </is>
      </c>
    </row>
    <row r="41">
      <c r="A41" s="16" t="inlineStr">
        <is>
          <t>P38-D4</t>
        </is>
      </c>
      <c r="B41" s="17" t="n">
        <v>4</v>
      </c>
      <c r="C41" s="17" t="inlineStr">
        <is>
          <t>Agua Amarga</t>
        </is>
      </c>
      <c r="D41" s="17" t="inlineStr">
        <is>
          <t>Aparcamiento norte</t>
        </is>
      </c>
    </row>
    <row r="42">
      <c r="A42" s="16" t="inlineStr">
        <is>
          <t>P39-D4</t>
        </is>
      </c>
      <c r="B42" s="17" t="n">
        <v>4</v>
      </c>
      <c r="C42" s="17" t="inlineStr">
        <is>
          <t>Agua Amarga</t>
        </is>
      </c>
      <c r="D42" s="17" t="inlineStr">
        <is>
          <t>Hotel MiKasa</t>
        </is>
      </c>
    </row>
    <row r="43">
      <c r="A43" s="16" t="inlineStr">
        <is>
          <t>P40-D4</t>
        </is>
      </c>
      <c r="B43" s="17" t="n">
        <v>4</v>
      </c>
      <c r="C43" s="17" t="inlineStr">
        <is>
          <t>Agua Amarga</t>
        </is>
      </c>
      <c r="D43" s="17" t="inlineStr">
        <is>
          <t>Restaurante La Palmera</t>
        </is>
      </c>
    </row>
    <row r="44">
      <c r="A44" s="16" t="inlineStr">
        <is>
          <t>P41-D4</t>
        </is>
      </c>
      <c r="B44" s="17" t="n">
        <v>4</v>
      </c>
      <c r="C44" s="17" t="inlineStr">
        <is>
          <t>Agua Amarga</t>
        </is>
      </c>
      <c r="D44" s="17" t="inlineStr">
        <is>
          <t>Punto medio AL-7106</t>
        </is>
      </c>
    </row>
    <row r="45">
      <c r="A45" s="16" t="inlineStr">
        <is>
          <t>P42-D4</t>
        </is>
      </c>
      <c r="B45" s="17" t="n">
        <v>4</v>
      </c>
      <c r="C45" s="17" t="inlineStr">
        <is>
          <t>Sede Parque</t>
        </is>
      </c>
      <c r="D45" s="17" t="inlineStr">
        <is>
          <t>Rodalquilar c/Fundición s/n</t>
        </is>
      </c>
    </row>
    <row r="46">
      <c r="A46" s="16" t="inlineStr">
        <is>
          <t>P43-D4</t>
        </is>
      </c>
      <c r="B46" s="17" t="n">
        <v>4</v>
      </c>
      <c r="C46" s="17" t="inlineStr">
        <is>
          <t>Rodalquilar</t>
        </is>
      </c>
      <c r="D46" s="17" t="inlineStr">
        <is>
          <t>Plaza pueblo · primera visita</t>
        </is>
      </c>
    </row>
    <row r="47">
      <c r="A47" s="16" t="inlineStr">
        <is>
          <t>P44-D5</t>
        </is>
      </c>
      <c r="B47" s="17" t="n">
        <v>5</v>
      </c>
      <c r="C47" s="17" t="inlineStr">
        <is>
          <t>Rodalquilar</t>
        </is>
      </c>
      <c r="D47" s="17" t="inlineStr">
        <is>
          <t>🔴 Tótem 1 propuesto · inicio ruta</t>
        </is>
      </c>
    </row>
    <row r="48">
      <c r="A48" s="16" t="inlineStr">
        <is>
          <t>P45-D5</t>
        </is>
      </c>
      <c r="B48" s="17" t="n">
        <v>5</v>
      </c>
      <c r="C48" s="17" t="inlineStr">
        <is>
          <t>Rodalquilar</t>
        </is>
      </c>
      <c r="D48" s="17" t="inlineStr">
        <is>
          <t>Centro Visitantes Parque Natural</t>
        </is>
      </c>
    </row>
    <row r="49">
      <c r="A49" s="16" t="inlineStr">
        <is>
          <t>P46-D5</t>
        </is>
      </c>
      <c r="B49" s="17" t="n">
        <v>5</v>
      </c>
      <c r="C49" s="17" t="inlineStr">
        <is>
          <t>Rodalquilar</t>
        </is>
      </c>
      <c r="D49" s="17" t="inlineStr">
        <is>
          <t>Pueblo · plaza minera</t>
        </is>
      </c>
    </row>
    <row r="50">
      <c r="A50" s="16" t="inlineStr">
        <is>
          <t>P47-D5</t>
        </is>
      </c>
      <c r="B50" s="17" t="n">
        <v>5</v>
      </c>
      <c r="C50" s="17" t="inlineStr">
        <is>
          <t>Rodalquilar</t>
        </is>
      </c>
      <c r="D50" s="17" t="inlineStr">
        <is>
          <t>El Playazo · aparcamiento</t>
        </is>
      </c>
    </row>
    <row r="51">
      <c r="A51" s="16" t="inlineStr">
        <is>
          <t>P48-D5</t>
        </is>
      </c>
      <c r="B51" s="17" t="n">
        <v>5</v>
      </c>
      <c r="C51" s="17" t="inlineStr">
        <is>
          <t>Rodalquilar</t>
        </is>
      </c>
      <c r="D51" s="17" t="inlineStr">
        <is>
          <t>El Playazo · castillo San Ramón</t>
        </is>
      </c>
    </row>
    <row r="52">
      <c r="A52" s="16" t="inlineStr">
        <is>
          <t>P49-D5</t>
        </is>
      </c>
      <c r="B52" s="17" t="n">
        <v>5</v>
      </c>
      <c r="C52" s="17" t="inlineStr">
        <is>
          <t>Ruta ciclista</t>
        </is>
      </c>
      <c r="D52" s="17" t="inlineStr">
        <is>
          <t>Km 2 ruta · Cortijo del Fraile</t>
        </is>
      </c>
    </row>
    <row r="53">
      <c r="A53" s="16" t="inlineStr">
        <is>
          <t>P50-D5</t>
        </is>
      </c>
      <c r="B53" s="17" t="n">
        <v>5</v>
      </c>
      <c r="C53" s="17" t="inlineStr">
        <is>
          <t>Ruta ciclista</t>
        </is>
      </c>
      <c r="D53" s="17" t="inlineStr">
        <is>
          <t>Km 4 ruta · llano</t>
        </is>
      </c>
    </row>
    <row r="54">
      <c r="A54" s="16" t="inlineStr">
        <is>
          <t>P51-D5</t>
        </is>
      </c>
      <c r="B54" s="17" t="n">
        <v>5</v>
      </c>
      <c r="C54" s="17" t="inlineStr">
        <is>
          <t>Ruta ciclista</t>
        </is>
      </c>
      <c r="D54" s="17" t="inlineStr">
        <is>
          <t>Km 6 ruta · descenso</t>
        </is>
      </c>
    </row>
    <row r="55">
      <c r="A55" s="16" t="inlineStr">
        <is>
          <t>P52-D5</t>
        </is>
      </c>
      <c r="B55" s="17" t="n">
        <v>5</v>
      </c>
      <c r="C55" s="17" t="inlineStr">
        <is>
          <t>Ruta ciclista</t>
        </is>
      </c>
      <c r="D55" s="17" t="inlineStr">
        <is>
          <t>Km 8 ruta · curva</t>
        </is>
      </c>
    </row>
    <row r="56">
      <c r="A56" s="16" t="inlineStr">
        <is>
          <t>P53-D5</t>
        </is>
      </c>
      <c r="B56" s="17" t="n">
        <v>5</v>
      </c>
      <c r="C56" s="17" t="inlineStr">
        <is>
          <t>Ruta ciclista</t>
        </is>
      </c>
      <c r="D56" s="17" t="inlineStr">
        <is>
          <t>Km 10 ruta · mirador</t>
        </is>
      </c>
    </row>
    <row r="57">
      <c r="A57" s="16" t="inlineStr">
        <is>
          <t>P54-D5</t>
        </is>
      </c>
      <c r="B57" s="17" t="n">
        <v>5</v>
      </c>
      <c r="C57" s="17" t="inlineStr">
        <is>
          <t>Los Albaricoques</t>
        </is>
      </c>
      <c r="D57" s="17" t="inlineStr">
        <is>
          <t>🔴 Tótem 2 propuesto · fin ruta</t>
        </is>
      </c>
    </row>
    <row r="58">
      <c r="A58" s="16" t="inlineStr">
        <is>
          <t>P55-D5</t>
        </is>
      </c>
      <c r="B58" s="17" t="n">
        <v>5</v>
      </c>
      <c r="C58" s="17" t="inlineStr">
        <is>
          <t>Los Albaricoques</t>
        </is>
      </c>
      <c r="D58" s="17" t="inlineStr">
        <is>
          <t>Plaza pueblo Albaricoques</t>
        </is>
      </c>
    </row>
    <row r="59">
      <c r="A59" s="16" t="inlineStr">
        <is>
          <t>P56-D5</t>
        </is>
      </c>
      <c r="B59" s="17" t="n">
        <v>5</v>
      </c>
      <c r="C59" s="17" t="inlineStr">
        <is>
          <t>Los Albaricoques</t>
        </is>
      </c>
      <c r="D59" s="17" t="inlineStr">
        <is>
          <t>Hotel Alba</t>
        </is>
      </c>
    </row>
    <row r="60">
      <c r="A60" s="16" t="inlineStr">
        <is>
          <t>P57-D6</t>
        </is>
      </c>
      <c r="B60" s="17" t="n">
        <v>6</v>
      </c>
      <c r="C60" s="17" t="inlineStr">
        <is>
          <t>Cabo de Gata pueblo</t>
        </is>
      </c>
      <c r="D60" s="17" t="inlineStr">
        <is>
          <t>Plaza pueblo</t>
        </is>
      </c>
    </row>
    <row r="61">
      <c r="A61" s="16" t="inlineStr">
        <is>
          <t>P58-D6</t>
        </is>
      </c>
      <c r="B61" s="17" t="n">
        <v>6</v>
      </c>
      <c r="C61" s="17" t="inlineStr">
        <is>
          <t>Cabo de Gata pueblo</t>
        </is>
      </c>
      <c r="D61" s="17" t="inlineStr">
        <is>
          <t>Almadraba Monteleva</t>
        </is>
      </c>
    </row>
    <row r="62">
      <c r="A62" s="16" t="inlineStr">
        <is>
          <t>P59-D6</t>
        </is>
      </c>
      <c r="B62" s="17" t="n">
        <v>6</v>
      </c>
      <c r="C62" s="17" t="inlineStr">
        <is>
          <t>Cabo de Gata pueblo</t>
        </is>
      </c>
      <c r="D62" s="17" t="inlineStr">
        <is>
          <t>Iglesia Almadraba</t>
        </is>
      </c>
    </row>
    <row r="63">
      <c r="A63" s="16" t="inlineStr">
        <is>
          <t>P60-D6</t>
        </is>
      </c>
      <c r="B63" s="17" t="n">
        <v>6</v>
      </c>
      <c r="C63" s="17" t="inlineStr">
        <is>
          <t>Salinas</t>
        </is>
      </c>
      <c r="D63" s="17" t="inlineStr">
        <is>
          <t>Centro Visitantes Salinas</t>
        </is>
      </c>
    </row>
    <row r="64">
      <c r="A64" s="16" t="inlineStr">
        <is>
          <t>P61-D6</t>
        </is>
      </c>
      <c r="B64" s="17" t="n">
        <v>6</v>
      </c>
      <c r="C64" s="17" t="inlineStr">
        <is>
          <t>Salinas</t>
        </is>
      </c>
      <c r="D64" s="17" t="inlineStr">
        <is>
          <t>Mirador flamencos</t>
        </is>
      </c>
    </row>
    <row r="65">
      <c r="A65" s="16" t="inlineStr">
        <is>
          <t>P62-D6</t>
        </is>
      </c>
      <c r="B65" s="17" t="n">
        <v>6</v>
      </c>
      <c r="C65" s="17" t="inlineStr">
        <is>
          <t>Faro Cabo Gata</t>
        </is>
      </c>
      <c r="D65" s="17" t="inlineStr">
        <is>
          <t>Faro extremo sur</t>
        </is>
      </c>
    </row>
    <row r="66">
      <c r="A66" s="16" t="inlineStr">
        <is>
          <t>P63-D6</t>
        </is>
      </c>
      <c r="B66" s="17" t="n">
        <v>6</v>
      </c>
      <c r="C66" s="17" t="inlineStr">
        <is>
          <t>Faro Cabo Gata</t>
        </is>
      </c>
      <c r="D66" s="17" t="inlineStr">
        <is>
          <t>Mirador Vela Blanca</t>
        </is>
      </c>
    </row>
    <row r="67">
      <c r="A67" s="16" t="inlineStr">
        <is>
          <t>P64-D6</t>
        </is>
      </c>
      <c r="B67" s="17" t="n">
        <v>6</v>
      </c>
      <c r="C67" s="17" t="inlineStr">
        <is>
          <t>Playa Cabo Gata</t>
        </is>
      </c>
      <c r="D67" s="17" t="inlineStr">
        <is>
          <t>Playa pueblo Cabo Gata</t>
        </is>
      </c>
    </row>
    <row r="68">
      <c r="A68" s="16" t="inlineStr">
        <is>
          <t>P65-D6</t>
        </is>
      </c>
      <c r="B68" s="17" t="n">
        <v>6</v>
      </c>
      <c r="C68" s="17" t="inlineStr">
        <is>
          <t>Retamar</t>
        </is>
      </c>
      <c r="D68" s="17" t="inlineStr">
        <is>
          <t>Núcleo Retamar (límite)</t>
        </is>
      </c>
    </row>
    <row r="69">
      <c r="A69" s="16" t="inlineStr">
        <is>
          <t>P66-D6</t>
        </is>
      </c>
      <c r="B69" s="17" t="n">
        <v>6</v>
      </c>
      <c r="C69" s="17" t="inlineStr">
        <is>
          <t>Pujaire</t>
        </is>
      </c>
      <c r="D69" s="17" t="inlineStr">
        <is>
          <t>Núcleo Pujaire</t>
        </is>
      </c>
    </row>
    <row r="70">
      <c r="A70" s="16" t="inlineStr">
        <is>
          <t>P67-D6</t>
        </is>
      </c>
      <c r="B70" s="17" t="n">
        <v>6</v>
      </c>
      <c r="C70" s="17" t="inlineStr">
        <is>
          <t>Carretera AL-3115</t>
        </is>
      </c>
      <c r="D70" s="17" t="inlineStr">
        <is>
          <t>Tramo Faro</t>
        </is>
      </c>
    </row>
    <row r="71">
      <c r="A71" s="16" t="inlineStr">
        <is>
          <t>P68-D6</t>
        </is>
      </c>
      <c r="B71" s="17" t="n">
        <v>6</v>
      </c>
      <c r="C71" s="17" t="inlineStr">
        <is>
          <t>Camping Cabo Gata</t>
        </is>
      </c>
      <c r="D71" s="17" t="inlineStr">
        <is>
          <t>Camping municipal</t>
        </is>
      </c>
    </row>
    <row r="72">
      <c r="A72" s="16" t="inlineStr">
        <is>
          <t>P69-D7</t>
        </is>
      </c>
      <c r="B72" s="17" t="n">
        <v>7</v>
      </c>
      <c r="C72" s="17" t="inlineStr">
        <is>
          <t>Atochares</t>
        </is>
      </c>
      <c r="D72" s="17" t="inlineStr">
        <is>
          <t>Plaza Atochares</t>
        </is>
      </c>
    </row>
    <row r="73">
      <c r="A73" s="16" t="inlineStr">
        <is>
          <t>P70-D7</t>
        </is>
      </c>
      <c r="B73" s="17" t="n">
        <v>7</v>
      </c>
      <c r="C73" s="17" t="inlineStr">
        <is>
          <t>Campohermoso</t>
        </is>
      </c>
      <c r="D73" s="17" t="inlineStr">
        <is>
          <t>Plaza Campohermoso</t>
        </is>
      </c>
    </row>
    <row r="74">
      <c r="A74" s="16" t="inlineStr">
        <is>
          <t>P71-D7</t>
        </is>
      </c>
      <c r="B74" s="17" t="n">
        <v>7</v>
      </c>
      <c r="C74" s="17" t="inlineStr">
        <is>
          <t>San Isidro</t>
        </is>
      </c>
      <c r="D74" s="17" t="inlineStr">
        <is>
          <t>Núcleo San Isidro Níjar</t>
        </is>
      </c>
    </row>
    <row r="75">
      <c r="A75" s="16" t="inlineStr">
        <is>
          <t>P72-D7</t>
        </is>
      </c>
      <c r="B75" s="17" t="n">
        <v>7</v>
      </c>
      <c r="C75" s="17" t="inlineStr">
        <is>
          <t>Fernán Pérez</t>
        </is>
      </c>
      <c r="D75" s="17" t="inlineStr">
        <is>
          <t>Plaza Fernán Pérez</t>
        </is>
      </c>
    </row>
    <row r="76">
      <c r="A76" s="16" t="inlineStr">
        <is>
          <t>P73-D7</t>
        </is>
      </c>
      <c r="B76" s="17" t="n">
        <v>7</v>
      </c>
      <c r="C76" s="17" t="inlineStr">
        <is>
          <t>Las Hortichuelas</t>
        </is>
      </c>
      <c r="D76" s="17" t="inlineStr">
        <is>
          <t>Núcleo rural agrícola</t>
        </is>
      </c>
    </row>
    <row r="77">
      <c r="A77" s="16" t="inlineStr">
        <is>
          <t>P74-D7</t>
        </is>
      </c>
      <c r="B77" s="17" t="n">
        <v>7</v>
      </c>
      <c r="C77" s="17" t="inlineStr">
        <is>
          <t>Los Nietos</t>
        </is>
      </c>
      <c r="D77" s="17" t="inlineStr">
        <is>
          <t>Núcleo rural</t>
        </is>
      </c>
    </row>
    <row r="78">
      <c r="A78" s="16" t="inlineStr">
        <is>
          <t>P75-D7</t>
        </is>
      </c>
      <c r="B78" s="17" t="n">
        <v>7</v>
      </c>
      <c r="C78" s="17" t="inlineStr">
        <is>
          <t>Pujaire</t>
        </is>
      </c>
      <c r="D78" s="17" t="inlineStr">
        <is>
          <t>Pista a Cabo Gata</t>
        </is>
      </c>
    </row>
    <row r="79">
      <c r="A79" s="16" t="inlineStr">
        <is>
          <t>P76-D7</t>
        </is>
      </c>
      <c r="B79" s="17" t="n">
        <v>7</v>
      </c>
      <c r="C79" s="17" t="inlineStr">
        <is>
          <t>Polígono industrial</t>
        </is>
      </c>
      <c r="D79" s="17" t="inlineStr">
        <is>
          <t>Polígono San Isidro</t>
        </is>
      </c>
    </row>
    <row r="80">
      <c r="A80" s="16" t="inlineStr">
        <is>
          <t>P77-D7</t>
        </is>
      </c>
      <c r="B80" s="17" t="n">
        <v>7</v>
      </c>
      <c r="C80" s="17" t="inlineStr">
        <is>
          <t>Carretera A-7</t>
        </is>
      </c>
      <c r="D80" s="17" t="inlineStr">
        <is>
          <t>Salida 471 Níjar</t>
        </is>
      </c>
    </row>
    <row r="81">
      <c r="A81" s="16" t="inlineStr">
        <is>
          <t>P78-D7</t>
        </is>
      </c>
      <c r="B81" s="17" t="n">
        <v>7</v>
      </c>
      <c r="C81" s="17" t="inlineStr">
        <is>
          <t>Carretera N-340a</t>
        </is>
      </c>
      <c r="D81" s="17" t="inlineStr">
        <is>
          <t>Tramo Níjar-Almería</t>
        </is>
      </c>
    </row>
    <row r="82">
      <c r="A82" s="16" t="inlineStr">
        <is>
          <t>P79-D7</t>
        </is>
      </c>
      <c r="B82" s="17" t="n">
        <v>7</v>
      </c>
      <c r="C82" s="17" t="inlineStr">
        <is>
          <t>Núcleo de bodega</t>
        </is>
      </c>
      <c r="D82" s="17" t="inlineStr">
        <is>
          <t>Bodega visitable</t>
        </is>
      </c>
    </row>
    <row r="83">
      <c r="A83" s="16" t="inlineStr">
        <is>
          <t>P80-D7</t>
        </is>
      </c>
      <c r="B83" s="17" t="n">
        <v>7</v>
      </c>
      <c r="C83" s="17" t="inlineStr">
        <is>
          <t>Ayuntamiento Níjar</t>
        </is>
      </c>
      <c r="D83" s="17" t="inlineStr">
        <is>
          <t>Cierre · sede Concejalía</t>
        </is>
      </c>
    </row>
  </sheetData>
  <mergeCells count="4">
    <mergeCell ref="A1:O1"/>
    <mergeCell ref="E2:I2"/>
    <mergeCell ref="A2:D2"/>
    <mergeCell ref="J2:N2"/>
  </mergeCells>
  <dataValidations count="2">
    <dataValidation sqref="E4:E83 F4:F83 G4:G83 H4:H83" showDropDown="0" showInputMessage="0" showErrorMessage="0" allowBlank="1" type="list">
      <formula1>"Si,Parcial,No,N/A"</formula1>
    </dataValidation>
    <dataValidation sqref="J4:J83" showDropDown="0" showInputMessage="0" showErrorMessage="0" allowBlank="1" type="list">
      <formula1>"Si funciona,Si lento,Si no conecta,No existe,No probado"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18" customWidth="1" min="3" max="3"/>
    <col width="28" customWidth="1" min="4" max="4"/>
    <col width="18" customWidth="1" min="5" max="5"/>
    <col width="13" customWidth="1" min="6" max="6"/>
    <col width="11" customWidth="1" min="7" max="7"/>
    <col width="18" customWidth="1" min="8" max="8"/>
    <col width="18" customWidth="1" min="9" max="9"/>
    <col width="26" customWidth="1" min="10" max="10"/>
  </cols>
  <sheetData>
    <row r="1" ht="24" customHeight="1">
      <c r="A1" s="9" t="inlineStr">
        <is>
          <t>DETECCIÓN DE GATEWAYS LORAWAN E IDONEIDAD PARA IoT FUTURO</t>
        </is>
      </c>
    </row>
    <row r="3" ht="38" customHeight="1">
      <c r="A3" s="15" t="inlineStr">
        <is>
          <t>ID Punto</t>
        </is>
      </c>
      <c r="B3" s="15" t="inlineStr">
        <is>
          <t>Día</t>
        </is>
      </c>
      <c r="C3" s="15" t="inlineStr">
        <is>
          <t>Núcleo</t>
        </is>
      </c>
      <c r="D3" s="15" t="inlineStr">
        <is>
          <t>Descripción</t>
        </is>
      </c>
      <c r="E3" s="15" t="inlineStr">
        <is>
          <t>Gateway TTN detectado</t>
        </is>
      </c>
      <c r="F3" s="15" t="inlineStr">
        <is>
          <t>RSSI (dBm)</t>
        </is>
      </c>
      <c r="G3" s="15" t="inlineStr">
        <is>
          <t>SNR (dB)</t>
        </is>
      </c>
      <c r="H3" s="15" t="inlineStr">
        <is>
          <t>Línea vista alta</t>
        </is>
      </c>
      <c r="I3" s="15" t="inlineStr">
        <is>
          <t>Idoneidad IoT</t>
        </is>
      </c>
      <c r="J3" s="15" t="inlineStr">
        <is>
          <t>Observaciones</t>
        </is>
      </c>
    </row>
    <row r="4">
      <c r="A4" s="16" t="inlineStr">
        <is>
          <t>P01-D1</t>
        </is>
      </c>
      <c r="B4" s="17" t="n">
        <v>1</v>
      </c>
      <c r="C4" s="17" t="inlineStr">
        <is>
          <t>Níjar pueblo</t>
        </is>
      </c>
      <c r="D4" s="17" t="inlineStr">
        <is>
          <t>Plaza La Glorieta · centro</t>
        </is>
      </c>
    </row>
    <row r="5">
      <c r="A5" s="16" t="inlineStr">
        <is>
          <t>P02-D1</t>
        </is>
      </c>
      <c r="B5" s="17" t="n">
        <v>1</v>
      </c>
      <c r="C5" s="17" t="inlineStr">
        <is>
          <t>Níjar pueblo</t>
        </is>
      </c>
      <c r="D5" s="17" t="inlineStr">
        <is>
          <t>Iglesia Sta María de la Anunciación</t>
        </is>
      </c>
    </row>
    <row r="6">
      <c r="A6" s="16" t="inlineStr">
        <is>
          <t>P03-D1</t>
        </is>
      </c>
      <c r="B6" s="17" t="n">
        <v>1</v>
      </c>
      <c r="C6" s="17" t="inlineStr">
        <is>
          <t>Níjar pueblo</t>
        </is>
      </c>
      <c r="D6" s="17" t="inlineStr">
        <is>
          <t>Mirador casco histórico</t>
        </is>
      </c>
    </row>
    <row r="7">
      <c r="A7" s="16" t="inlineStr">
        <is>
          <t>P04-D1</t>
        </is>
      </c>
      <c r="B7" s="17" t="n">
        <v>1</v>
      </c>
      <c r="C7" s="17" t="inlineStr">
        <is>
          <t>Níjar pueblo</t>
        </is>
      </c>
      <c r="D7" s="17" t="inlineStr">
        <is>
          <t>Plaza Mercado · oficina turismo</t>
        </is>
      </c>
    </row>
    <row r="8">
      <c r="A8" s="16" t="inlineStr">
        <is>
          <t>P05-D1</t>
        </is>
      </c>
      <c r="B8" s="17" t="n">
        <v>1</v>
      </c>
      <c r="C8" s="17" t="inlineStr">
        <is>
          <t>Níjar pueblo</t>
        </is>
      </c>
      <c r="D8" s="17" t="inlineStr">
        <is>
          <t>Calle artesanos cerámica</t>
        </is>
      </c>
    </row>
    <row r="9">
      <c r="A9" s="16" t="inlineStr">
        <is>
          <t>P06-D1</t>
        </is>
      </c>
      <c r="B9" s="17" t="n">
        <v>1</v>
      </c>
      <c r="C9" s="17" t="inlineStr">
        <is>
          <t>Níjar pueblo</t>
        </is>
      </c>
      <c r="D9" s="17" t="inlineStr">
        <is>
          <t>Aparcamiento sur</t>
        </is>
      </c>
    </row>
    <row r="10">
      <c r="A10" s="16" t="inlineStr">
        <is>
          <t>P07-D1</t>
        </is>
      </c>
      <c r="B10" s="17" t="n">
        <v>1</v>
      </c>
      <c r="C10" s="17" t="inlineStr">
        <is>
          <t>Huebro</t>
        </is>
      </c>
      <c r="D10" s="17" t="inlineStr">
        <is>
          <t>Núcleo rural</t>
        </is>
      </c>
    </row>
    <row r="11">
      <c r="A11" s="16" t="inlineStr">
        <is>
          <t>P08-D1</t>
        </is>
      </c>
      <c r="B11" s="17" t="n">
        <v>1</v>
      </c>
      <c r="C11" s="17" t="inlineStr">
        <is>
          <t>Atochares</t>
        </is>
      </c>
      <c r="D11" s="17" t="inlineStr">
        <is>
          <t>Núcleo rural</t>
        </is>
      </c>
    </row>
    <row r="12">
      <c r="A12" s="16" t="inlineStr">
        <is>
          <t>P09-D2</t>
        </is>
      </c>
      <c r="B12" s="17" t="n">
        <v>2</v>
      </c>
      <c r="C12" s="17" t="inlineStr">
        <is>
          <t>San José</t>
        </is>
      </c>
      <c r="D12" s="17" t="inlineStr">
        <is>
          <t>Puerto deportivo</t>
        </is>
      </c>
    </row>
    <row r="13">
      <c r="A13" s="16" t="inlineStr">
        <is>
          <t>P10-D2</t>
        </is>
      </c>
      <c r="B13" s="17" t="n">
        <v>2</v>
      </c>
      <c r="C13" s="17" t="inlineStr">
        <is>
          <t>San José</t>
        </is>
      </c>
      <c r="D13" s="17" t="inlineStr">
        <is>
          <t>Plaza pueblo San José</t>
        </is>
      </c>
    </row>
    <row r="14">
      <c r="A14" s="16" t="inlineStr">
        <is>
          <t>P11-D2</t>
        </is>
      </c>
      <c r="B14" s="17" t="n">
        <v>2</v>
      </c>
      <c r="C14" s="17" t="inlineStr">
        <is>
          <t>San José</t>
        </is>
      </c>
      <c r="D14" s="17" t="inlineStr">
        <is>
          <t>Playa San José</t>
        </is>
      </c>
    </row>
    <row r="15">
      <c r="A15" s="16" t="inlineStr">
        <is>
          <t>P12-D2</t>
        </is>
      </c>
      <c r="B15" s="17" t="n">
        <v>2</v>
      </c>
      <c r="C15" s="17" t="inlineStr">
        <is>
          <t>San José</t>
        </is>
      </c>
      <c r="D15" s="17" t="inlineStr">
        <is>
          <t>Hotel Cortijo El Sotillo</t>
        </is>
      </c>
    </row>
    <row r="16">
      <c r="A16" s="16" t="inlineStr">
        <is>
          <t>P13-D2</t>
        </is>
      </c>
      <c r="B16" s="17" t="n">
        <v>2</v>
      </c>
      <c r="C16" s="17" t="inlineStr">
        <is>
          <t>Mónsul</t>
        </is>
      </c>
      <c r="D16" s="17" t="inlineStr">
        <is>
          <t>Aparcamiento Mónsul</t>
        </is>
      </c>
    </row>
    <row r="17">
      <c r="A17" s="16" t="inlineStr">
        <is>
          <t>P14-D2</t>
        </is>
      </c>
      <c r="B17" s="17" t="n">
        <v>2</v>
      </c>
      <c r="C17" s="17" t="inlineStr">
        <is>
          <t>Mónsul</t>
        </is>
      </c>
      <c r="D17" s="17" t="inlineStr">
        <is>
          <t>Playa Mónsul (orilla)</t>
        </is>
      </c>
    </row>
    <row r="18">
      <c r="A18" s="16" t="inlineStr">
        <is>
          <t>P15-D2</t>
        </is>
      </c>
      <c r="B18" s="17" t="n">
        <v>2</v>
      </c>
      <c r="C18" s="17" t="inlineStr">
        <is>
          <t>Genoveses</t>
        </is>
      </c>
      <c r="D18" s="17" t="inlineStr">
        <is>
          <t>Playa Genoveses</t>
        </is>
      </c>
    </row>
    <row r="19">
      <c r="A19" s="16" t="inlineStr">
        <is>
          <t>P16-D2</t>
        </is>
      </c>
      <c r="B19" s="17" t="n">
        <v>2</v>
      </c>
      <c r="C19" s="17" t="inlineStr">
        <is>
          <t>Genoveses</t>
        </is>
      </c>
      <c r="D19" s="17" t="inlineStr">
        <is>
          <t>Aparcamiento Genoveses</t>
        </is>
      </c>
    </row>
    <row r="20">
      <c r="A20" s="16" t="inlineStr">
        <is>
          <t>P17-D2</t>
        </is>
      </c>
      <c r="B20" s="17" t="n">
        <v>2</v>
      </c>
      <c r="C20" s="17" t="inlineStr">
        <is>
          <t>Los Escullos</t>
        </is>
      </c>
      <c r="D20" s="17" t="inlineStr">
        <is>
          <t>Núcleo + camping</t>
        </is>
      </c>
    </row>
    <row r="21">
      <c r="A21" s="16" t="inlineStr">
        <is>
          <t>P18-D2</t>
        </is>
      </c>
      <c r="B21" s="17" t="n">
        <v>2</v>
      </c>
      <c r="C21" s="17" t="inlineStr">
        <is>
          <t>Los Escullos</t>
        </is>
      </c>
      <c r="D21" s="17" t="inlineStr">
        <is>
          <t>Castillo San Felipe</t>
        </is>
      </c>
    </row>
    <row r="22">
      <c r="A22" s="16" t="inlineStr">
        <is>
          <t>P19-D2</t>
        </is>
      </c>
      <c r="B22" s="17" t="n">
        <v>2</v>
      </c>
      <c r="C22" s="17" t="inlineStr">
        <is>
          <t>Pozo Frailes</t>
        </is>
      </c>
      <c r="D22" s="17" t="inlineStr">
        <is>
          <t>Núcleo</t>
        </is>
      </c>
    </row>
    <row r="23">
      <c r="A23" s="16" t="inlineStr">
        <is>
          <t>P20-D2</t>
        </is>
      </c>
      <c r="B23" s="17" t="n">
        <v>2</v>
      </c>
      <c r="C23" s="17" t="inlineStr">
        <is>
          <t>Carretera AL-100</t>
        </is>
      </c>
      <c r="D23" s="17" t="inlineStr">
        <is>
          <t>Punto intermedio carretera</t>
        </is>
      </c>
    </row>
    <row r="24">
      <c r="A24" s="16" t="inlineStr">
        <is>
          <t>P21-D2</t>
        </is>
      </c>
      <c r="B24" s="17" t="n">
        <v>2</v>
      </c>
      <c r="C24" s="17" t="inlineStr">
        <is>
          <t>San José</t>
        </is>
      </c>
      <c r="D24" s="17" t="inlineStr">
        <is>
          <t>Restaurante La Ola</t>
        </is>
      </c>
    </row>
    <row r="25">
      <c r="A25" s="16" t="inlineStr">
        <is>
          <t>P22-D2</t>
        </is>
      </c>
      <c r="B25" s="17" t="n">
        <v>2</v>
      </c>
      <c r="C25" s="17" t="inlineStr">
        <is>
          <t>San José</t>
        </is>
      </c>
      <c r="D25" s="17" t="inlineStr">
        <is>
          <t>Apartamentos turísticos centro</t>
        </is>
      </c>
    </row>
    <row r="26">
      <c r="A26" s="16" t="inlineStr">
        <is>
          <t>P23-D3</t>
        </is>
      </c>
      <c r="B26" s="17" t="n">
        <v>3</v>
      </c>
      <c r="C26" s="17" t="inlineStr">
        <is>
          <t>Isleta del Moro</t>
        </is>
      </c>
      <c r="D26" s="17" t="inlineStr">
        <is>
          <t>Plaza pueblo</t>
        </is>
      </c>
    </row>
    <row r="27">
      <c r="A27" s="16" t="inlineStr">
        <is>
          <t>P24-D3</t>
        </is>
      </c>
      <c r="B27" s="17" t="n">
        <v>3</v>
      </c>
      <c r="C27" s="17" t="inlineStr">
        <is>
          <t>Isleta del Moro</t>
        </is>
      </c>
      <c r="D27" s="17" t="inlineStr">
        <is>
          <t>Playa pueblo</t>
        </is>
      </c>
    </row>
    <row r="28">
      <c r="A28" s="16" t="inlineStr">
        <is>
          <t>P25-D3</t>
        </is>
      </c>
      <c r="B28" s="17" t="n">
        <v>3</v>
      </c>
      <c r="C28" s="17" t="inlineStr">
        <is>
          <t>Hortichuelas</t>
        </is>
      </c>
      <c r="D28" s="17" t="inlineStr">
        <is>
          <t>Núcleo rural</t>
        </is>
      </c>
    </row>
    <row r="29">
      <c r="A29" s="16" t="inlineStr">
        <is>
          <t>P26-D3</t>
        </is>
      </c>
      <c r="B29" s="17" t="n">
        <v>3</v>
      </c>
      <c r="C29" s="17" t="inlineStr">
        <is>
          <t>Las Negras</t>
        </is>
      </c>
      <c r="D29" s="17" t="inlineStr">
        <is>
          <t>Plaza pueblo Las Negras</t>
        </is>
      </c>
    </row>
    <row r="30">
      <c r="A30" s="16" t="inlineStr">
        <is>
          <t>P27-D3</t>
        </is>
      </c>
      <c r="B30" s="17" t="n">
        <v>3</v>
      </c>
      <c r="C30" s="17" t="inlineStr">
        <is>
          <t>Las Negras</t>
        </is>
      </c>
      <c r="D30" s="17" t="inlineStr">
        <is>
          <t>Playa Las Negras</t>
        </is>
      </c>
    </row>
    <row r="31">
      <c r="A31" s="16" t="inlineStr">
        <is>
          <t>P28-D3</t>
        </is>
      </c>
      <c r="B31" s="17" t="n">
        <v>3</v>
      </c>
      <c r="C31" s="17" t="inlineStr">
        <is>
          <t>Las Negras</t>
        </is>
      </c>
      <c r="D31" s="17" t="inlineStr">
        <is>
          <t>Acceso pista San Pedro</t>
        </is>
      </c>
    </row>
    <row r="32">
      <c r="A32" s="16" t="inlineStr">
        <is>
          <t>P29-D3</t>
        </is>
      </c>
      <c r="B32" s="17" t="n">
        <v>3</v>
      </c>
      <c r="C32" s="17" t="inlineStr">
        <is>
          <t>Cala San Pedro</t>
        </is>
      </c>
      <c r="D32" s="17" t="inlineStr">
        <is>
          <t>Cala virgen (sin acceso vehículo)</t>
        </is>
      </c>
    </row>
    <row r="33">
      <c r="A33" s="16" t="inlineStr">
        <is>
          <t>P30-D3</t>
        </is>
      </c>
      <c r="B33" s="17" t="n">
        <v>3</v>
      </c>
      <c r="C33" s="17" t="inlineStr">
        <is>
          <t>Las Negras</t>
        </is>
      </c>
      <c r="D33" s="17" t="inlineStr">
        <is>
          <t>Camping Las Negras</t>
        </is>
      </c>
    </row>
    <row r="34">
      <c r="A34" s="16" t="inlineStr">
        <is>
          <t>P31-D3</t>
        </is>
      </c>
      <c r="B34" s="17" t="n">
        <v>3</v>
      </c>
      <c r="C34" s="17" t="inlineStr">
        <is>
          <t>Las Negras</t>
        </is>
      </c>
      <c r="D34" s="17" t="inlineStr">
        <is>
          <t>Restaurante puerto</t>
        </is>
      </c>
    </row>
    <row r="35">
      <c r="A35" s="16" t="inlineStr">
        <is>
          <t>P32-D3</t>
        </is>
      </c>
      <c r="B35" s="17" t="n">
        <v>3</v>
      </c>
      <c r="C35" s="17" t="inlineStr">
        <is>
          <t>Carretera AL-4200</t>
        </is>
      </c>
      <c r="D35" s="17" t="inlineStr">
        <is>
          <t>Tramo costero</t>
        </is>
      </c>
    </row>
    <row r="36">
      <c r="A36" s="16" t="inlineStr">
        <is>
          <t>P33-D4</t>
        </is>
      </c>
      <c r="B36" s="17" t="n">
        <v>4</v>
      </c>
      <c r="C36" s="17" t="inlineStr">
        <is>
          <t>Agua Amarga</t>
        </is>
      </c>
      <c r="D36" s="17" t="inlineStr">
        <is>
          <t>Plaza pueblo Agua Amarga</t>
        </is>
      </c>
    </row>
    <row r="37">
      <c r="A37" s="16" t="inlineStr">
        <is>
          <t>P34-D4</t>
        </is>
      </c>
      <c r="B37" s="17" t="n">
        <v>4</v>
      </c>
      <c r="C37" s="17" t="inlineStr">
        <is>
          <t>Agua Amarga</t>
        </is>
      </c>
      <c r="D37" s="17" t="inlineStr">
        <is>
          <t>Playa Agua Amarga</t>
        </is>
      </c>
    </row>
    <row r="38">
      <c r="A38" s="16" t="inlineStr">
        <is>
          <t>P35-D4</t>
        </is>
      </c>
      <c r="B38" s="17" t="n">
        <v>4</v>
      </c>
      <c r="C38" s="17" t="inlineStr">
        <is>
          <t>Cala Enmedio</t>
        </is>
      </c>
      <c r="D38" s="17" t="inlineStr">
        <is>
          <t>Punto acceso peatonal</t>
        </is>
      </c>
    </row>
    <row r="39">
      <c r="A39" s="16" t="inlineStr">
        <is>
          <t>P36-D4</t>
        </is>
      </c>
      <c r="B39" s="17" t="n">
        <v>4</v>
      </c>
      <c r="C39" s="17" t="inlineStr">
        <is>
          <t>Cala Enmedio</t>
        </is>
      </c>
      <c r="D39" s="17" t="inlineStr">
        <is>
          <t>Cala virgen mirador</t>
        </is>
      </c>
    </row>
    <row r="40">
      <c r="A40" s="16" t="inlineStr">
        <is>
          <t>P37-D4</t>
        </is>
      </c>
      <c r="B40" s="17" t="n">
        <v>4</v>
      </c>
      <c r="C40" s="17" t="inlineStr">
        <is>
          <t>Mesa Roldán</t>
        </is>
      </c>
      <c r="D40" s="17" t="inlineStr">
        <is>
          <t>Faro y mirador</t>
        </is>
      </c>
    </row>
    <row r="41">
      <c r="A41" s="16" t="inlineStr">
        <is>
          <t>P38-D4</t>
        </is>
      </c>
      <c r="B41" s="17" t="n">
        <v>4</v>
      </c>
      <c r="C41" s="17" t="inlineStr">
        <is>
          <t>Agua Amarga</t>
        </is>
      </c>
      <c r="D41" s="17" t="inlineStr">
        <is>
          <t>Aparcamiento norte</t>
        </is>
      </c>
    </row>
    <row r="42">
      <c r="A42" s="16" t="inlineStr">
        <is>
          <t>P39-D4</t>
        </is>
      </c>
      <c r="B42" s="17" t="n">
        <v>4</v>
      </c>
      <c r="C42" s="17" t="inlineStr">
        <is>
          <t>Agua Amarga</t>
        </is>
      </c>
      <c r="D42" s="17" t="inlineStr">
        <is>
          <t>Hotel MiKasa</t>
        </is>
      </c>
    </row>
    <row r="43">
      <c r="A43" s="16" t="inlineStr">
        <is>
          <t>P40-D4</t>
        </is>
      </c>
      <c r="B43" s="17" t="n">
        <v>4</v>
      </c>
      <c r="C43" s="17" t="inlineStr">
        <is>
          <t>Agua Amarga</t>
        </is>
      </c>
      <c r="D43" s="17" t="inlineStr">
        <is>
          <t>Restaurante La Palmera</t>
        </is>
      </c>
    </row>
    <row r="44">
      <c r="A44" s="16" t="inlineStr">
        <is>
          <t>P41-D4</t>
        </is>
      </c>
      <c r="B44" s="17" t="n">
        <v>4</v>
      </c>
      <c r="C44" s="17" t="inlineStr">
        <is>
          <t>Agua Amarga</t>
        </is>
      </c>
      <c r="D44" s="17" t="inlineStr">
        <is>
          <t>Punto medio AL-7106</t>
        </is>
      </c>
    </row>
    <row r="45">
      <c r="A45" s="16" t="inlineStr">
        <is>
          <t>P42-D4</t>
        </is>
      </c>
      <c r="B45" s="17" t="n">
        <v>4</v>
      </c>
      <c r="C45" s="17" t="inlineStr">
        <is>
          <t>Sede Parque</t>
        </is>
      </c>
      <c r="D45" s="17" t="inlineStr">
        <is>
          <t>Rodalquilar c/Fundición s/n</t>
        </is>
      </c>
    </row>
    <row r="46">
      <c r="A46" s="16" t="inlineStr">
        <is>
          <t>P43-D4</t>
        </is>
      </c>
      <c r="B46" s="17" t="n">
        <v>4</v>
      </c>
      <c r="C46" s="17" t="inlineStr">
        <is>
          <t>Rodalquilar</t>
        </is>
      </c>
      <c r="D46" s="17" t="inlineStr">
        <is>
          <t>Plaza pueblo · primera visita</t>
        </is>
      </c>
    </row>
    <row r="47">
      <c r="A47" s="16" t="inlineStr">
        <is>
          <t>P44-D5</t>
        </is>
      </c>
      <c r="B47" s="17" t="n">
        <v>5</v>
      </c>
      <c r="C47" s="17" t="inlineStr">
        <is>
          <t>Rodalquilar</t>
        </is>
      </c>
      <c r="D47" s="17" t="inlineStr">
        <is>
          <t>🔴 Tótem 1 propuesto · inicio ruta</t>
        </is>
      </c>
    </row>
    <row r="48">
      <c r="A48" s="16" t="inlineStr">
        <is>
          <t>P45-D5</t>
        </is>
      </c>
      <c r="B48" s="17" t="n">
        <v>5</v>
      </c>
      <c r="C48" s="17" t="inlineStr">
        <is>
          <t>Rodalquilar</t>
        </is>
      </c>
      <c r="D48" s="17" t="inlineStr">
        <is>
          <t>Centro Visitantes Parque Natural</t>
        </is>
      </c>
    </row>
    <row r="49">
      <c r="A49" s="16" t="inlineStr">
        <is>
          <t>P46-D5</t>
        </is>
      </c>
      <c r="B49" s="17" t="n">
        <v>5</v>
      </c>
      <c r="C49" s="17" t="inlineStr">
        <is>
          <t>Rodalquilar</t>
        </is>
      </c>
      <c r="D49" s="17" t="inlineStr">
        <is>
          <t>Pueblo · plaza minera</t>
        </is>
      </c>
    </row>
    <row r="50">
      <c r="A50" s="16" t="inlineStr">
        <is>
          <t>P47-D5</t>
        </is>
      </c>
      <c r="B50" s="17" t="n">
        <v>5</v>
      </c>
      <c r="C50" s="17" t="inlineStr">
        <is>
          <t>Rodalquilar</t>
        </is>
      </c>
      <c r="D50" s="17" t="inlineStr">
        <is>
          <t>El Playazo · aparcamiento</t>
        </is>
      </c>
    </row>
    <row r="51">
      <c r="A51" s="16" t="inlineStr">
        <is>
          <t>P48-D5</t>
        </is>
      </c>
      <c r="B51" s="17" t="n">
        <v>5</v>
      </c>
      <c r="C51" s="17" t="inlineStr">
        <is>
          <t>Rodalquilar</t>
        </is>
      </c>
      <c r="D51" s="17" t="inlineStr">
        <is>
          <t>El Playazo · castillo San Ramón</t>
        </is>
      </c>
    </row>
    <row r="52">
      <c r="A52" s="16" t="inlineStr">
        <is>
          <t>P49-D5</t>
        </is>
      </c>
      <c r="B52" s="17" t="n">
        <v>5</v>
      </c>
      <c r="C52" s="17" t="inlineStr">
        <is>
          <t>Ruta ciclista</t>
        </is>
      </c>
      <c r="D52" s="17" t="inlineStr">
        <is>
          <t>Km 2 ruta · Cortijo del Fraile</t>
        </is>
      </c>
    </row>
    <row r="53">
      <c r="A53" s="16" t="inlineStr">
        <is>
          <t>P50-D5</t>
        </is>
      </c>
      <c r="B53" s="17" t="n">
        <v>5</v>
      </c>
      <c r="C53" s="17" t="inlineStr">
        <is>
          <t>Ruta ciclista</t>
        </is>
      </c>
      <c r="D53" s="17" t="inlineStr">
        <is>
          <t>Km 4 ruta · llano</t>
        </is>
      </c>
    </row>
    <row r="54">
      <c r="A54" s="16" t="inlineStr">
        <is>
          <t>P51-D5</t>
        </is>
      </c>
      <c r="B54" s="17" t="n">
        <v>5</v>
      </c>
      <c r="C54" s="17" t="inlineStr">
        <is>
          <t>Ruta ciclista</t>
        </is>
      </c>
      <c r="D54" s="17" t="inlineStr">
        <is>
          <t>Km 6 ruta · descenso</t>
        </is>
      </c>
    </row>
    <row r="55">
      <c r="A55" s="16" t="inlineStr">
        <is>
          <t>P52-D5</t>
        </is>
      </c>
      <c r="B55" s="17" t="n">
        <v>5</v>
      </c>
      <c r="C55" s="17" t="inlineStr">
        <is>
          <t>Ruta ciclista</t>
        </is>
      </c>
      <c r="D55" s="17" t="inlineStr">
        <is>
          <t>Km 8 ruta · curva</t>
        </is>
      </c>
    </row>
    <row r="56">
      <c r="A56" s="16" t="inlineStr">
        <is>
          <t>P53-D5</t>
        </is>
      </c>
      <c r="B56" s="17" t="n">
        <v>5</v>
      </c>
      <c r="C56" s="17" t="inlineStr">
        <is>
          <t>Ruta ciclista</t>
        </is>
      </c>
      <c r="D56" s="17" t="inlineStr">
        <is>
          <t>Km 10 ruta · mirador</t>
        </is>
      </c>
    </row>
    <row r="57">
      <c r="A57" s="16" t="inlineStr">
        <is>
          <t>P54-D5</t>
        </is>
      </c>
      <c r="B57" s="17" t="n">
        <v>5</v>
      </c>
      <c r="C57" s="17" t="inlineStr">
        <is>
          <t>Los Albaricoques</t>
        </is>
      </c>
      <c r="D57" s="17" t="inlineStr">
        <is>
          <t>🔴 Tótem 2 propuesto · fin ruta</t>
        </is>
      </c>
    </row>
    <row r="58">
      <c r="A58" s="16" t="inlineStr">
        <is>
          <t>P55-D5</t>
        </is>
      </c>
      <c r="B58" s="17" t="n">
        <v>5</v>
      </c>
      <c r="C58" s="17" t="inlineStr">
        <is>
          <t>Los Albaricoques</t>
        </is>
      </c>
      <c r="D58" s="17" t="inlineStr">
        <is>
          <t>Plaza pueblo Albaricoques</t>
        </is>
      </c>
    </row>
    <row r="59">
      <c r="A59" s="16" t="inlineStr">
        <is>
          <t>P56-D5</t>
        </is>
      </c>
      <c r="B59" s="17" t="n">
        <v>5</v>
      </c>
      <c r="C59" s="17" t="inlineStr">
        <is>
          <t>Los Albaricoques</t>
        </is>
      </c>
      <c r="D59" s="17" t="inlineStr">
        <is>
          <t>Hotel Alba</t>
        </is>
      </c>
    </row>
    <row r="60">
      <c r="A60" s="16" t="inlineStr">
        <is>
          <t>P57-D6</t>
        </is>
      </c>
      <c r="B60" s="17" t="n">
        <v>6</v>
      </c>
      <c r="C60" s="17" t="inlineStr">
        <is>
          <t>Cabo de Gata pueblo</t>
        </is>
      </c>
      <c r="D60" s="17" t="inlineStr">
        <is>
          <t>Plaza pueblo</t>
        </is>
      </c>
    </row>
    <row r="61">
      <c r="A61" s="16" t="inlineStr">
        <is>
          <t>P58-D6</t>
        </is>
      </c>
      <c r="B61" s="17" t="n">
        <v>6</v>
      </c>
      <c r="C61" s="17" t="inlineStr">
        <is>
          <t>Cabo de Gata pueblo</t>
        </is>
      </c>
      <c r="D61" s="17" t="inlineStr">
        <is>
          <t>Almadraba Monteleva</t>
        </is>
      </c>
    </row>
    <row r="62">
      <c r="A62" s="16" t="inlineStr">
        <is>
          <t>P59-D6</t>
        </is>
      </c>
      <c r="B62" s="17" t="n">
        <v>6</v>
      </c>
      <c r="C62" s="17" t="inlineStr">
        <is>
          <t>Cabo de Gata pueblo</t>
        </is>
      </c>
      <c r="D62" s="17" t="inlineStr">
        <is>
          <t>Iglesia Almadraba</t>
        </is>
      </c>
    </row>
    <row r="63">
      <c r="A63" s="16" t="inlineStr">
        <is>
          <t>P60-D6</t>
        </is>
      </c>
      <c r="B63" s="17" t="n">
        <v>6</v>
      </c>
      <c r="C63" s="17" t="inlineStr">
        <is>
          <t>Salinas</t>
        </is>
      </c>
      <c r="D63" s="17" t="inlineStr">
        <is>
          <t>Centro Visitantes Salinas</t>
        </is>
      </c>
    </row>
    <row r="64">
      <c r="A64" s="16" t="inlineStr">
        <is>
          <t>P61-D6</t>
        </is>
      </c>
      <c r="B64" s="17" t="n">
        <v>6</v>
      </c>
      <c r="C64" s="17" t="inlineStr">
        <is>
          <t>Salinas</t>
        </is>
      </c>
      <c r="D64" s="17" t="inlineStr">
        <is>
          <t>Mirador flamencos</t>
        </is>
      </c>
    </row>
    <row r="65">
      <c r="A65" s="16" t="inlineStr">
        <is>
          <t>P62-D6</t>
        </is>
      </c>
      <c r="B65" s="17" t="n">
        <v>6</v>
      </c>
      <c r="C65" s="17" t="inlineStr">
        <is>
          <t>Faro Cabo Gata</t>
        </is>
      </c>
      <c r="D65" s="17" t="inlineStr">
        <is>
          <t>Faro extremo sur</t>
        </is>
      </c>
    </row>
    <row r="66">
      <c r="A66" s="16" t="inlineStr">
        <is>
          <t>P63-D6</t>
        </is>
      </c>
      <c r="B66" s="17" t="n">
        <v>6</v>
      </c>
      <c r="C66" s="17" t="inlineStr">
        <is>
          <t>Faro Cabo Gata</t>
        </is>
      </c>
      <c r="D66" s="17" t="inlineStr">
        <is>
          <t>Mirador Vela Blanca</t>
        </is>
      </c>
    </row>
    <row r="67">
      <c r="A67" s="16" t="inlineStr">
        <is>
          <t>P64-D6</t>
        </is>
      </c>
      <c r="B67" s="17" t="n">
        <v>6</v>
      </c>
      <c r="C67" s="17" t="inlineStr">
        <is>
          <t>Playa Cabo Gata</t>
        </is>
      </c>
      <c r="D67" s="17" t="inlineStr">
        <is>
          <t>Playa pueblo Cabo Gata</t>
        </is>
      </c>
    </row>
    <row r="68">
      <c r="A68" s="16" t="inlineStr">
        <is>
          <t>P65-D6</t>
        </is>
      </c>
      <c r="B68" s="17" t="n">
        <v>6</v>
      </c>
      <c r="C68" s="17" t="inlineStr">
        <is>
          <t>Retamar</t>
        </is>
      </c>
      <c r="D68" s="17" t="inlineStr">
        <is>
          <t>Núcleo Retamar (límite)</t>
        </is>
      </c>
    </row>
    <row r="69">
      <c r="A69" s="16" t="inlineStr">
        <is>
          <t>P66-D6</t>
        </is>
      </c>
      <c r="B69" s="17" t="n">
        <v>6</v>
      </c>
      <c r="C69" s="17" t="inlineStr">
        <is>
          <t>Pujaire</t>
        </is>
      </c>
      <c r="D69" s="17" t="inlineStr">
        <is>
          <t>Núcleo Pujaire</t>
        </is>
      </c>
    </row>
    <row r="70">
      <c r="A70" s="16" t="inlineStr">
        <is>
          <t>P67-D6</t>
        </is>
      </c>
      <c r="B70" s="17" t="n">
        <v>6</v>
      </c>
      <c r="C70" s="17" t="inlineStr">
        <is>
          <t>Carretera AL-3115</t>
        </is>
      </c>
      <c r="D70" s="17" t="inlineStr">
        <is>
          <t>Tramo Faro</t>
        </is>
      </c>
    </row>
    <row r="71">
      <c r="A71" s="16" t="inlineStr">
        <is>
          <t>P68-D6</t>
        </is>
      </c>
      <c r="B71" s="17" t="n">
        <v>6</v>
      </c>
      <c r="C71" s="17" t="inlineStr">
        <is>
          <t>Camping Cabo Gata</t>
        </is>
      </c>
      <c r="D71" s="17" t="inlineStr">
        <is>
          <t>Camping municipal</t>
        </is>
      </c>
    </row>
    <row r="72">
      <c r="A72" s="16" t="inlineStr">
        <is>
          <t>P69-D7</t>
        </is>
      </c>
      <c r="B72" s="17" t="n">
        <v>7</v>
      </c>
      <c r="C72" s="17" t="inlineStr">
        <is>
          <t>Atochares</t>
        </is>
      </c>
      <c r="D72" s="17" t="inlineStr">
        <is>
          <t>Plaza Atochares</t>
        </is>
      </c>
    </row>
    <row r="73">
      <c r="A73" s="16" t="inlineStr">
        <is>
          <t>P70-D7</t>
        </is>
      </c>
      <c r="B73" s="17" t="n">
        <v>7</v>
      </c>
      <c r="C73" s="17" t="inlineStr">
        <is>
          <t>Campohermoso</t>
        </is>
      </c>
      <c r="D73" s="17" t="inlineStr">
        <is>
          <t>Plaza Campohermoso</t>
        </is>
      </c>
    </row>
    <row r="74">
      <c r="A74" s="16" t="inlineStr">
        <is>
          <t>P71-D7</t>
        </is>
      </c>
      <c r="B74" s="17" t="n">
        <v>7</v>
      </c>
      <c r="C74" s="17" t="inlineStr">
        <is>
          <t>San Isidro</t>
        </is>
      </c>
      <c r="D74" s="17" t="inlineStr">
        <is>
          <t>Núcleo San Isidro Níjar</t>
        </is>
      </c>
    </row>
    <row r="75">
      <c r="A75" s="16" t="inlineStr">
        <is>
          <t>P72-D7</t>
        </is>
      </c>
      <c r="B75" s="17" t="n">
        <v>7</v>
      </c>
      <c r="C75" s="17" t="inlineStr">
        <is>
          <t>Fernán Pérez</t>
        </is>
      </c>
      <c r="D75" s="17" t="inlineStr">
        <is>
          <t>Plaza Fernán Pérez</t>
        </is>
      </c>
    </row>
    <row r="76">
      <c r="A76" s="16" t="inlineStr">
        <is>
          <t>P73-D7</t>
        </is>
      </c>
      <c r="B76" s="17" t="n">
        <v>7</v>
      </c>
      <c r="C76" s="17" t="inlineStr">
        <is>
          <t>Las Hortichuelas</t>
        </is>
      </c>
      <c r="D76" s="17" t="inlineStr">
        <is>
          <t>Núcleo rural agrícola</t>
        </is>
      </c>
    </row>
    <row r="77">
      <c r="A77" s="16" t="inlineStr">
        <is>
          <t>P74-D7</t>
        </is>
      </c>
      <c r="B77" s="17" t="n">
        <v>7</v>
      </c>
      <c r="C77" s="17" t="inlineStr">
        <is>
          <t>Los Nietos</t>
        </is>
      </c>
      <c r="D77" s="17" t="inlineStr">
        <is>
          <t>Núcleo rural</t>
        </is>
      </c>
    </row>
    <row r="78">
      <c r="A78" s="16" t="inlineStr">
        <is>
          <t>P75-D7</t>
        </is>
      </c>
      <c r="B78" s="17" t="n">
        <v>7</v>
      </c>
      <c r="C78" s="17" t="inlineStr">
        <is>
          <t>Pujaire</t>
        </is>
      </c>
      <c r="D78" s="17" t="inlineStr">
        <is>
          <t>Pista a Cabo Gata</t>
        </is>
      </c>
    </row>
    <row r="79">
      <c r="A79" s="16" t="inlineStr">
        <is>
          <t>P76-D7</t>
        </is>
      </c>
      <c r="B79" s="17" t="n">
        <v>7</v>
      </c>
      <c r="C79" s="17" t="inlineStr">
        <is>
          <t>Polígono industrial</t>
        </is>
      </c>
      <c r="D79" s="17" t="inlineStr">
        <is>
          <t>Polígono San Isidro</t>
        </is>
      </c>
    </row>
    <row r="80">
      <c r="A80" s="16" t="inlineStr">
        <is>
          <t>P77-D7</t>
        </is>
      </c>
      <c r="B80" s="17" t="n">
        <v>7</v>
      </c>
      <c r="C80" s="17" t="inlineStr">
        <is>
          <t>Carretera A-7</t>
        </is>
      </c>
      <c r="D80" s="17" t="inlineStr">
        <is>
          <t>Salida 471 Níjar</t>
        </is>
      </c>
    </row>
    <row r="81">
      <c r="A81" s="16" t="inlineStr">
        <is>
          <t>P78-D7</t>
        </is>
      </c>
      <c r="B81" s="17" t="n">
        <v>7</v>
      </c>
      <c r="C81" s="17" t="inlineStr">
        <is>
          <t>Carretera N-340a</t>
        </is>
      </c>
      <c r="D81" s="17" t="inlineStr">
        <is>
          <t>Tramo Níjar-Almería</t>
        </is>
      </c>
    </row>
    <row r="82">
      <c r="A82" s="16" t="inlineStr">
        <is>
          <t>P79-D7</t>
        </is>
      </c>
      <c r="B82" s="17" t="n">
        <v>7</v>
      </c>
      <c r="C82" s="17" t="inlineStr">
        <is>
          <t>Núcleo de bodega</t>
        </is>
      </c>
      <c r="D82" s="17" t="inlineStr">
        <is>
          <t>Bodega visitable</t>
        </is>
      </c>
    </row>
    <row r="83">
      <c r="A83" s="16" t="inlineStr">
        <is>
          <t>P80-D7</t>
        </is>
      </c>
      <c r="B83" s="17" t="n">
        <v>7</v>
      </c>
      <c r="C83" s="17" t="inlineStr">
        <is>
          <t>Ayuntamiento Níjar</t>
        </is>
      </c>
      <c r="D83" s="17" t="inlineStr">
        <is>
          <t>Cierre · sede Concejalía</t>
        </is>
      </c>
    </row>
  </sheetData>
  <mergeCells count="1">
    <mergeCell ref="A1:J1"/>
  </mergeCells>
  <dataValidations count="3">
    <dataValidation sqref="E4:E83" showDropDown="0" showInputMessage="0" showErrorMessage="0" allowBlank="1" type="list">
      <formula1>"Si,No,N/A"</formula1>
    </dataValidation>
    <dataValidation sqref="H4:H83" showDropDown="0" showInputMessage="0" showErrorMessage="0" allowBlank="1" type="list">
      <formula1>"Si,Parcial,No"</formula1>
    </dataValidation>
    <dataValidation sqref="I4:I83" showDropDown="0" showInputMessage="0" showErrorMessage="0" allowBlank="1" type="list">
      <formula1>"Alta,Media,Baja,Requiere gateway nuevo"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20" customWidth="1" min="4" max="4"/>
    <col width="14" customWidth="1" min="5" max="5"/>
    <col width="14" customWidth="1" min="6" max="6"/>
    <col width="15" customWidth="1" min="7" max="7"/>
    <col width="24" customWidth="1" min="8" max="8"/>
    <col width="26" customWidth="1" min="9" max="9"/>
  </cols>
  <sheetData>
    <row r="1" ht="24" customHeight="1">
      <c r="A1" s="9" t="inlineStr">
        <is>
          <t>BACKBONE MUNICIPAL · DATOS OBTENIDOS EN ENTREVISTA CON ÁREA TIC (D1)</t>
        </is>
      </c>
    </row>
    <row r="3" ht="38" customHeight="1">
      <c r="A3" s="15" t="inlineStr">
        <is>
          <t>ID Edificio</t>
        </is>
      </c>
      <c r="B3" s="15" t="inlineStr">
        <is>
          <t>Nombre</t>
        </is>
      </c>
      <c r="C3" s="15" t="inlineStr">
        <is>
          <t>Dirección</t>
        </is>
      </c>
      <c r="D3" s="15" t="inlineStr">
        <is>
          <t>Tecnología enlace</t>
        </is>
      </c>
      <c r="E3" s="15" t="inlineStr">
        <is>
          <t>Operador</t>
        </is>
      </c>
      <c r="F3" s="15" t="inlineStr">
        <is>
          <t>BW contratado (Mbps)</t>
        </is>
      </c>
      <c r="G3" s="15" t="inlineStr">
        <is>
          <t>Estado actual</t>
        </is>
      </c>
      <c r="H3" s="15" t="inlineStr">
        <is>
          <t>Necesidades futuras</t>
        </is>
      </c>
      <c r="I3" s="15" t="inlineStr">
        <is>
          <t>Observaciones</t>
        </is>
      </c>
    </row>
    <row r="4">
      <c r="A4" s="16" t="inlineStr">
        <is>
          <t>BB01</t>
        </is>
      </c>
      <c r="B4" s="17" t="inlineStr">
        <is>
          <t>Ayuntamiento Níjar</t>
        </is>
      </c>
      <c r="C4" s="17" t="inlineStr">
        <is>
          <t>Plaza La Glorieta s/n · Níjar</t>
        </is>
      </c>
    </row>
    <row r="5">
      <c r="A5" s="16" t="inlineStr">
        <is>
          <t>BB02</t>
        </is>
      </c>
      <c r="B5" s="17" t="inlineStr">
        <is>
          <t>Casa Cultura Níjar</t>
        </is>
      </c>
      <c r="C5" s="17" t="inlineStr">
        <is>
          <t>Níjar pueblo</t>
        </is>
      </c>
    </row>
    <row r="6">
      <c r="A6" s="16" t="inlineStr">
        <is>
          <t>BB03</t>
        </is>
      </c>
      <c r="B6" s="17" t="inlineStr">
        <is>
          <t>Oficina Turismo Níjar</t>
        </is>
      </c>
      <c r="C6" s="17" t="inlineStr">
        <is>
          <t>Plaza del Mercado · Níjar</t>
        </is>
      </c>
    </row>
    <row r="7">
      <c r="A7" s="16" t="inlineStr">
        <is>
          <t>BB04</t>
        </is>
      </c>
      <c r="B7" s="17" t="inlineStr">
        <is>
          <t>Oficina Turismo San José</t>
        </is>
      </c>
      <c r="C7" s="17" t="inlineStr">
        <is>
          <t>Avda San José</t>
        </is>
      </c>
    </row>
    <row r="8">
      <c r="A8" s="16" t="inlineStr">
        <is>
          <t>BB05</t>
        </is>
      </c>
      <c r="B8" s="17" t="inlineStr">
        <is>
          <t>Punto Información Rodalquilar</t>
        </is>
      </c>
      <c r="C8" s="17" t="inlineStr">
        <is>
          <t>c/ Fundición s/n · Rodalquilar</t>
        </is>
      </c>
    </row>
    <row r="9">
      <c r="A9" s="16" t="inlineStr">
        <is>
          <t>BB06</t>
        </is>
      </c>
      <c r="B9" s="17" t="inlineStr">
        <is>
          <t>Centro Salud Níjar</t>
        </is>
      </c>
      <c r="C9" s="17" t="inlineStr">
        <is>
          <t>Níjar pueblo</t>
        </is>
      </c>
    </row>
    <row r="10">
      <c r="A10" s="16" t="inlineStr">
        <is>
          <t>BB07</t>
        </is>
      </c>
      <c r="B10" s="17" t="inlineStr">
        <is>
          <t>Centro Salud San José</t>
        </is>
      </c>
      <c r="C10" s="17" t="inlineStr">
        <is>
          <t>San José</t>
        </is>
      </c>
    </row>
    <row r="11">
      <c r="A11" s="16" t="inlineStr">
        <is>
          <t>BB08</t>
        </is>
      </c>
      <c r="B11" s="17" t="inlineStr">
        <is>
          <t>Centro Salud Campohermoso</t>
        </is>
      </c>
      <c r="C11" s="17" t="inlineStr">
        <is>
          <t>Campohermoso</t>
        </is>
      </c>
    </row>
    <row r="12">
      <c r="A12" s="16" t="inlineStr">
        <is>
          <t>BB09</t>
        </is>
      </c>
      <c r="B12" s="17" t="inlineStr">
        <is>
          <t>Polideportivo Níjar</t>
        </is>
      </c>
      <c r="C12" s="17" t="inlineStr">
        <is>
          <t>Níjar pueblo</t>
        </is>
      </c>
    </row>
    <row r="13">
      <c r="A13" s="16" t="inlineStr">
        <is>
          <t>BB10</t>
        </is>
      </c>
      <c r="B13" s="17" t="inlineStr">
        <is>
          <t>Biblioteca Municipal</t>
        </is>
      </c>
      <c r="C13" s="17" t="inlineStr">
        <is>
          <t>Níjar pueblo</t>
        </is>
      </c>
    </row>
    <row r="14">
      <c r="A14" s="16" t="inlineStr">
        <is>
          <t>BB11</t>
        </is>
      </c>
      <c r="B14" s="17" t="inlineStr">
        <is>
          <t>Colegio CEIP Níjar</t>
        </is>
      </c>
      <c r="C14" s="17" t="inlineStr">
        <is>
          <t>Níjar pueblo</t>
        </is>
      </c>
    </row>
    <row r="15">
      <c r="A15" s="16" t="inlineStr">
        <is>
          <t>BB12</t>
        </is>
      </c>
      <c r="B15" s="17" t="inlineStr">
        <is>
          <t>Colegio CEIP San José</t>
        </is>
      </c>
      <c r="C15" s="17" t="inlineStr">
        <is>
          <t>San José</t>
        </is>
      </c>
    </row>
    <row r="16">
      <c r="A16" s="16" t="inlineStr">
        <is>
          <t>BB13</t>
        </is>
      </c>
      <c r="B16" s="17" t="inlineStr">
        <is>
          <t>Centro Visitantes Salinas</t>
        </is>
      </c>
      <c r="C16" s="17" t="inlineStr">
        <is>
          <t>Las Salinas · Cabo de Gata</t>
        </is>
      </c>
    </row>
    <row r="17">
      <c r="A17" s="16" t="inlineStr">
        <is>
          <t>BB14</t>
        </is>
      </c>
      <c r="B17" s="17" t="inlineStr">
        <is>
          <t>Otros edificios (a completar)</t>
        </is>
      </c>
      <c r="C17" s="17" t="inlineStr"/>
    </row>
  </sheetData>
  <mergeCells count="1">
    <mergeCell ref="A1:I1"/>
  </mergeCells>
  <dataValidations count="2">
    <dataValidation sqref="D4:D20" showDropDown="0" showInputMessage="0" showErrorMessage="0" allowBlank="1" type="list">
      <formula1>"Fibra dedicada,Fibra empresarial,Fibra hogar,Radioenlace,Linea alquilada,4G/5G FWA,No conectado"</formula1>
    </dataValidation>
    <dataValidation sqref="G4:G20" showDropDown="0" showInputMessage="0" showErrorMessage="0" allowBlank="1" type="list">
      <formula1>"Optimo,Suficiente,Justo,Insuficiente,Critico"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  <col width="18" customWidth="1" min="6" max="6"/>
  </cols>
  <sheetData>
    <row r="1" ht="28" customHeight="1">
      <c r="A1" s="19" t="inlineStr">
        <is>
          <t>KPIs CONSOLIDADOS DE COBERTURA · PLAN DIRECTOR DTI</t>
        </is>
      </c>
    </row>
    <row r="3">
      <c r="A3" s="20" t="inlineStr">
        <is>
          <t>KPI</t>
        </is>
      </c>
      <c r="B3" s="20" t="inlineStr">
        <is>
          <t>Total medido</t>
        </is>
      </c>
      <c r="C3" s="20" t="inlineStr">
        <is>
          <t>Excelente</t>
        </is>
      </c>
      <c r="D3" s="20" t="inlineStr">
        <is>
          <t>Bueno</t>
        </is>
      </c>
      <c r="E3" s="20" t="inlineStr">
        <is>
          <t>Pobre/Zona negra</t>
        </is>
      </c>
      <c r="F3" s="20" t="inlineStr">
        <is>
          <t>% problemáticos</t>
        </is>
      </c>
    </row>
    <row r="4">
      <c r="A4" s="8" t="inlineStr">
        <is>
          <t>Cobertura 4G/5G Movistar</t>
        </is>
      </c>
      <c r="B4" s="8">
        <f>COUNTA('Mediciones movil'!H4:H83)</f>
        <v/>
      </c>
      <c r="C4" s="8" t="n">
        <v>0</v>
      </c>
      <c r="D4" s="8" t="n">
        <v>0</v>
      </c>
      <c r="E4" s="8" t="n">
        <v>0</v>
      </c>
      <c r="F4" s="8" t="inlineStr"/>
    </row>
    <row r="5">
      <c r="A5" s="8" t="inlineStr">
        <is>
          <t>Cobertura 4G/5G Orange</t>
        </is>
      </c>
      <c r="B5" s="8">
        <f>COUNTA('Mediciones movil'!O4:O83)</f>
        <v/>
      </c>
      <c r="C5" s="8" t="n">
        <v>0</v>
      </c>
      <c r="D5" s="8" t="n">
        <v>0</v>
      </c>
      <c r="E5" s="8" t="n">
        <v>0</v>
      </c>
      <c r="F5" s="8" t="inlineStr"/>
    </row>
    <row r="6">
      <c r="A6" s="8" t="inlineStr">
        <is>
          <t>Cobertura 4G/5G Vodafone</t>
        </is>
      </c>
      <c r="B6" s="8">
        <f>COUNTA('Mediciones movil'!V4:V83)</f>
        <v/>
      </c>
      <c r="C6" s="8" t="n">
        <v>0</v>
      </c>
      <c r="D6" s="8" t="n">
        <v>0</v>
      </c>
      <c r="E6" s="8" t="n">
        <v>0</v>
      </c>
      <c r="F6" s="8" t="inlineStr"/>
    </row>
    <row r="7">
      <c r="A7" s="8" t="inlineStr">
        <is>
          <t>Fibra disponible (cualquier op.)</t>
        </is>
      </c>
      <c r="B7" s="8">
        <f>COUNTIF('Fibra y WiFi'!E4:E83,"Si")+COUNTIF('Fibra y WiFi'!F4:F83,"Si")+COUNTIF('Fibra y WiFi'!G4:G83,"Si")</f>
        <v/>
      </c>
      <c r="C7" s="8" t="n">
        <v>0</v>
      </c>
      <c r="D7" s="8" t="n">
        <v>0</v>
      </c>
      <c r="E7" s="8" t="n">
        <v>0</v>
      </c>
      <c r="F7" s="8" t="inlineStr"/>
    </row>
    <row r="8">
      <c r="A8" s="8" t="inlineStr">
        <is>
          <t>WiFi público operativo</t>
        </is>
      </c>
      <c r="B8" s="8">
        <f>COUNTIF('Fibra y WiFi'!J4:J83,"Si funciona")</f>
        <v/>
      </c>
      <c r="C8" s="8" t="n">
        <v>0</v>
      </c>
      <c r="D8" s="8" t="n">
        <v>0</v>
      </c>
      <c r="E8" s="8" t="n">
        <v>0</v>
      </c>
      <c r="F8" s="8" t="inlineStr"/>
    </row>
    <row r="9">
      <c r="A9" s="8" t="inlineStr">
        <is>
          <t>Cobertura LoRaWAN detectada</t>
        </is>
      </c>
      <c r="B9" s="8">
        <f>COUNTIF('LoRaWAN'!E4:E83,"Si")</f>
        <v/>
      </c>
      <c r="C9" s="8" t="n">
        <v>0</v>
      </c>
      <c r="D9" s="8" t="n">
        <v>0</v>
      </c>
      <c r="E9" s="8" t="n">
        <v>0</v>
      </c>
      <c r="F9" s="8" t="inlineStr"/>
    </row>
    <row r="12">
      <c r="A12" s="4" t="inlineStr">
        <is>
          <t>PRINCIPALES ZONAS NEGRAS DETECTADAS</t>
        </is>
      </c>
    </row>
    <row r="14">
      <c r="A14" s="20" t="inlineStr">
        <is>
          <t>Zona</t>
        </is>
      </c>
      <c r="B14" s="20" t="inlineStr">
        <is>
          <t>Operador(es) afectado(s)</t>
        </is>
      </c>
      <c r="C14" s="20" t="inlineStr">
        <is>
          <t>Severidad</t>
        </is>
      </c>
      <c r="D14" s="20" t="inlineStr">
        <is>
          <t>Recomendación</t>
        </is>
      </c>
    </row>
    <row r="15"/>
    <row r="16"/>
    <row r="17"/>
    <row r="18"/>
    <row r="19"/>
    <row r="20"/>
    <row r="21"/>
    <row r="22"/>
    <row r="23"/>
    <row r="24"/>
    <row r="25"/>
  </sheetData>
  <mergeCells count="13">
    <mergeCell ref="D19:F19"/>
    <mergeCell ref="D14:F14"/>
    <mergeCell ref="D23:F23"/>
    <mergeCell ref="A1:F1"/>
    <mergeCell ref="D22:F22"/>
    <mergeCell ref="D18:F18"/>
    <mergeCell ref="D17:F17"/>
    <mergeCell ref="D21:F21"/>
    <mergeCell ref="D25:F25"/>
    <mergeCell ref="D20:F20"/>
    <mergeCell ref="D15:F15"/>
    <mergeCell ref="D16:F16"/>
    <mergeCell ref="D24:F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22" customWidth="1" min="4" max="4"/>
    <col width="20" customWidth="1" min="5" max="5"/>
    <col width="14" customWidth="1" min="6" max="6"/>
  </cols>
  <sheetData>
    <row r="2">
      <c r="B2" s="21" t="inlineStr">
        <is>
          <t>LEYENDA Y UMBRALES DE CLASIFICACIÓN</t>
        </is>
      </c>
    </row>
    <row r="4">
      <c r="B4" s="4" t="inlineStr">
        <is>
          <t>CALIDAD COBERTURA MÓVIL 4G/5G (RSRP)</t>
        </is>
      </c>
    </row>
    <row r="5">
      <c r="B5" s="20" t="inlineStr">
        <is>
          <t>Categoría</t>
        </is>
      </c>
      <c r="C5" s="20" t="inlineStr">
        <is>
          <t>RSRP</t>
        </is>
      </c>
      <c r="D5" s="20" t="inlineStr">
        <is>
          <t>Throughput</t>
        </is>
      </c>
      <c r="E5" s="20" t="inlineStr">
        <is>
          <t>Latencia</t>
        </is>
      </c>
      <c r="F5" s="20" t="inlineStr">
        <is>
          <t>Color mapa</t>
        </is>
      </c>
    </row>
    <row r="6">
      <c r="B6" s="17" t="inlineStr">
        <is>
          <t>Excelente</t>
        </is>
      </c>
      <c r="C6" s="17" t="inlineStr">
        <is>
          <t>&gt; -65 dBm</t>
        </is>
      </c>
      <c r="D6" s="17" t="inlineStr">
        <is>
          <t>&gt; 50 Mbps</t>
        </is>
      </c>
      <c r="E6" s="17" t="inlineStr">
        <is>
          <t>&lt; 30 ms</t>
        </is>
      </c>
      <c r="F6" s="22" t="inlineStr">
        <is>
          <t>Excelente</t>
        </is>
      </c>
    </row>
    <row r="7">
      <c r="B7" s="17" t="inlineStr">
        <is>
          <t>Buena</t>
        </is>
      </c>
      <c r="C7" s="17" t="inlineStr">
        <is>
          <t>-65 a -75 dBm</t>
        </is>
      </c>
      <c r="D7" s="17" t="inlineStr">
        <is>
          <t>10-50 Mbps</t>
        </is>
      </c>
      <c r="E7" s="17" t="inlineStr">
        <is>
          <t>30-50 ms</t>
        </is>
      </c>
      <c r="F7" s="23" t="inlineStr">
        <is>
          <t>Buena</t>
        </is>
      </c>
    </row>
    <row r="8">
      <c r="B8" s="17" t="inlineStr">
        <is>
          <t>Regular</t>
        </is>
      </c>
      <c r="C8" s="17" t="inlineStr">
        <is>
          <t>-75 a -85 dBm</t>
        </is>
      </c>
      <c r="D8" s="17" t="inlineStr">
        <is>
          <t>5-10 Mbps</t>
        </is>
      </c>
      <c r="E8" s="17" t="inlineStr">
        <is>
          <t>50-100 ms</t>
        </is>
      </c>
      <c r="F8" s="24" t="inlineStr">
        <is>
          <t>Regular</t>
        </is>
      </c>
    </row>
    <row r="9">
      <c r="B9" s="17" t="inlineStr">
        <is>
          <t>Pobre</t>
        </is>
      </c>
      <c r="C9" s="17" t="inlineStr">
        <is>
          <t>-85 a -100 dBm</t>
        </is>
      </c>
      <c r="D9" s="17" t="inlineStr">
        <is>
          <t>&lt; 5 Mbps</t>
        </is>
      </c>
      <c r="E9" s="17" t="inlineStr">
        <is>
          <t>&gt; 100 ms</t>
        </is>
      </c>
      <c r="F9" s="25" t="inlineStr">
        <is>
          <t>Pobre</t>
        </is>
      </c>
    </row>
    <row r="10">
      <c r="B10" s="17" t="inlineStr">
        <is>
          <t>Zona negra</t>
        </is>
      </c>
      <c r="C10" s="17" t="inlineStr">
        <is>
          <t>&lt; -100 dBm</t>
        </is>
      </c>
      <c r="D10" s="17" t="inlineStr">
        <is>
          <t>No conecta</t>
        </is>
      </c>
      <c r="E10" s="17" t="inlineStr">
        <is>
          <t>N/A</t>
        </is>
      </c>
      <c r="F10" s="26" t="inlineStr">
        <is>
          <t>Zona negra</t>
        </is>
      </c>
    </row>
    <row r="13">
      <c r="B13" s="4" t="inlineStr">
        <is>
          <t>CALIDAD WIFI PÚBLICO</t>
        </is>
      </c>
    </row>
    <row r="14">
      <c r="B14" s="20" t="inlineStr">
        <is>
          <t>Categoría</t>
        </is>
      </c>
      <c r="C14" s="20" t="inlineStr">
        <is>
          <t>Velocidad</t>
        </is>
      </c>
      <c r="D14" s="20" t="inlineStr">
        <is>
          <t>Experiencia usuario</t>
        </is>
      </c>
    </row>
    <row r="15">
      <c r="B15" s="17" t="inlineStr">
        <is>
          <t>Excelente</t>
        </is>
      </c>
      <c r="C15" s="17" t="inlineStr">
        <is>
          <t>&gt; 50 Mbps</t>
        </is>
      </c>
      <c r="D15" s="17" t="inlineStr">
        <is>
          <t>Conexión instantánea</t>
        </is>
      </c>
    </row>
    <row r="16">
      <c r="B16" s="17" t="inlineStr">
        <is>
          <t>Buena</t>
        </is>
      </c>
      <c r="C16" s="17" t="inlineStr">
        <is>
          <t>20-50 Mbps</t>
        </is>
      </c>
      <c r="D16" s="17" t="inlineStr">
        <is>
          <t>Conexión rápida</t>
        </is>
      </c>
    </row>
    <row r="17">
      <c r="B17" s="17" t="inlineStr">
        <is>
          <t>Regular</t>
        </is>
      </c>
      <c r="C17" s="17" t="inlineStr">
        <is>
          <t>5-20 Mbps</t>
        </is>
      </c>
      <c r="D17" s="17" t="inlineStr">
        <is>
          <t>Latencia notable</t>
        </is>
      </c>
    </row>
    <row r="18">
      <c r="B18" s="17" t="inlineStr">
        <is>
          <t>Pobre</t>
        </is>
      </c>
      <c r="C18" s="17" t="inlineStr">
        <is>
          <t>&lt; 5 Mbps</t>
        </is>
      </c>
      <c r="D18" s="17" t="inlineStr">
        <is>
          <t>Apenas usable</t>
        </is>
      </c>
    </row>
    <row r="21">
      <c r="B21" s="4" t="inlineStr">
        <is>
          <t>CALIDAD LORAWAN (SNR + RSSI)</t>
        </is>
      </c>
    </row>
    <row r="22">
      <c r="B22" s="20" t="inlineStr">
        <is>
          <t>Spreading Factor</t>
        </is>
      </c>
      <c r="C22" s="20" t="inlineStr">
        <is>
          <t>RSSI</t>
        </is>
      </c>
      <c r="D22" s="20" t="inlineStr">
        <is>
          <t>SNR</t>
        </is>
      </c>
      <c r="E22" s="20" t="inlineStr">
        <is>
          <t>Interpretación</t>
        </is>
      </c>
    </row>
    <row r="23">
      <c r="B23" s="17" t="inlineStr">
        <is>
          <t>SF7-SF8</t>
        </is>
      </c>
      <c r="C23" s="17" t="inlineStr">
        <is>
          <t>&gt; -110 dBm</t>
        </is>
      </c>
      <c r="D23" s="17" t="inlineStr">
        <is>
          <t>&gt; -5 dB</t>
        </is>
      </c>
      <c r="E23" s="17" t="inlineStr">
        <is>
          <t>Cobertura excelente</t>
        </is>
      </c>
    </row>
    <row r="24">
      <c r="B24" s="17" t="inlineStr">
        <is>
          <t>SF9-SF10</t>
        </is>
      </c>
      <c r="C24" s="17" t="inlineStr">
        <is>
          <t>-110 a -120 dBm</t>
        </is>
      </c>
      <c r="D24" s="17" t="inlineStr">
        <is>
          <t>-5 a -15 dB</t>
        </is>
      </c>
      <c r="E24" s="17" t="inlineStr">
        <is>
          <t>Cobertura aceptable</t>
        </is>
      </c>
    </row>
    <row r="25">
      <c r="B25" s="17" t="inlineStr">
        <is>
          <t>SF11-SF12</t>
        </is>
      </c>
      <c r="C25" s="17" t="inlineStr">
        <is>
          <t>&lt; -120 dBm</t>
        </is>
      </c>
      <c r="D25" s="17" t="inlineStr">
        <is>
          <t>&lt; -15 dB</t>
        </is>
      </c>
      <c r="E25" s="17" t="inlineStr">
        <is>
          <t>Cobertura límite</t>
        </is>
      </c>
    </row>
    <row r="26">
      <c r="B26" s="17" t="inlineStr">
        <is>
          <t>Sin GW</t>
        </is>
      </c>
      <c r="C26" s="17" t="inlineStr">
        <is>
          <t>N/A</t>
        </is>
      </c>
      <c r="D26" s="17" t="inlineStr">
        <is>
          <t>N/A</t>
        </is>
      </c>
      <c r="E26" s="17" t="inlineStr">
        <is>
          <t>Requiere desplegar gateway</t>
        </is>
      </c>
    </row>
    <row r="29">
      <c r="B29" s="4" t="inlineStr">
        <is>
          <t>APPS RECOMENDADAS PARA LA MEDICIÓN</t>
        </is>
      </c>
    </row>
    <row r="30">
      <c r="B30" s="20" t="inlineStr">
        <is>
          <t>App</t>
        </is>
      </c>
      <c r="C30" s="20" t="inlineStr">
        <is>
          <t>Plataforma</t>
        </is>
      </c>
      <c r="D30" s="20" t="inlineStr">
        <is>
          <t>Para qué se usa</t>
        </is>
      </c>
    </row>
    <row r="31">
      <c r="B31" s="17" t="inlineStr">
        <is>
          <t>Network Cell Info Pro</t>
        </is>
      </c>
      <c r="C31" s="17" t="inlineStr">
        <is>
          <t>Android</t>
        </is>
      </c>
      <c r="D31" s="17" t="inlineStr">
        <is>
          <t>RSRP, RSRQ, SINR, banda, celda · principal</t>
        </is>
      </c>
    </row>
    <row r="32">
      <c r="B32" s="17" t="inlineStr">
        <is>
          <t>Cellmapper</t>
        </is>
      </c>
      <c r="C32" s="17" t="inlineStr">
        <is>
          <t>Android</t>
        </is>
      </c>
      <c r="D32" s="17" t="inlineStr">
        <is>
          <t>Mapeo de celdas, info de operador</t>
        </is>
      </c>
    </row>
    <row r="33">
      <c r="B33" s="17" t="inlineStr">
        <is>
          <t>nPerf</t>
        </is>
      </c>
      <c r="C33" s="17" t="inlineStr">
        <is>
          <t>Android/iOS</t>
        </is>
      </c>
      <c r="D33" s="17" t="inlineStr">
        <is>
          <t>Speedtest oficial, georreferenciado</t>
        </is>
      </c>
    </row>
    <row r="34">
      <c r="B34" s="17" t="inlineStr">
        <is>
          <t>Speedtest Ookla</t>
        </is>
      </c>
      <c r="C34" s="17" t="inlineStr">
        <is>
          <t>Android/iOS</t>
        </is>
      </c>
      <c r="D34" s="17" t="inlineStr">
        <is>
          <t>Throughput descarga/subida, latencia</t>
        </is>
      </c>
    </row>
    <row r="35">
      <c r="B35" s="17" t="inlineStr">
        <is>
          <t>WiFi Analyzer</t>
        </is>
      </c>
      <c r="C35" s="17" t="inlineStr">
        <is>
          <t>Android</t>
        </is>
      </c>
      <c r="D35" s="17" t="inlineStr">
        <is>
          <t>SSID, canal, intensidad WiFi</t>
        </is>
      </c>
    </row>
    <row r="36">
      <c r="B36" s="17" t="inlineStr">
        <is>
          <t>OpenSignal</t>
        </is>
      </c>
      <c r="C36" s="17" t="inlineStr">
        <is>
          <t>Android/iOS</t>
        </is>
      </c>
      <c r="D36" s="17" t="inlineStr">
        <is>
          <t>Mapeo cobertura por operador</t>
        </is>
      </c>
    </row>
    <row r="37">
      <c r="B37" s="17" t="inlineStr">
        <is>
          <t>GPS Status</t>
        </is>
      </c>
      <c r="C37" s="17" t="inlineStr">
        <is>
          <t>Android</t>
        </is>
      </c>
      <c r="D37" s="17" t="inlineStr">
        <is>
          <t>Coordenadas WGS84 precisas</t>
        </is>
      </c>
    </row>
    <row r="38">
      <c r="B38" s="17" t="inlineStr">
        <is>
          <t>TTN Mapper</t>
        </is>
      </c>
      <c r="C38" s="17" t="inlineStr">
        <is>
          <t>Android</t>
        </is>
      </c>
      <c r="D38" s="17" t="inlineStr">
        <is>
          <t>Detección gateways LoRaWAN The Things Network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2026-05-14T11:40:29Z</dcterms:created>
  <dcterms:modified xsi:type="dcterms:W3CDTF">2026-08-14T05:39:35Z</dcterms:modified>
</cp:coreProperties>
</file>